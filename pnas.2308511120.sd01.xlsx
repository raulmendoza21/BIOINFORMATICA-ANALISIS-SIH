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ssues" sheetId="1" r:id="rId4"/>
    <sheet state="visible" name="Myeloid_cells" sheetId="2" r:id="rId5"/>
    <sheet state="visible" name="Granulocytes" sheetId="3" r:id="rId6"/>
    <sheet state="visible" name="Lymphocytes" sheetId="4" r:id="rId7"/>
    <sheet state="visible" name="Lymph_subgroups_and_details" sheetId="5" r:id="rId8"/>
    <sheet state="visible" name="GIT_dimensions" sheetId="6" r:id="rId9"/>
    <sheet state="visible" name="Loyfer_data" sheetId="7" r:id="rId10"/>
    <sheet state="visible" name="Anchors" sheetId="8" r:id="rId11"/>
    <sheet state="visible" name="Mass" sheetId="9" r:id="rId12"/>
    <sheet state="visible" name="Tabula Sapiens Hist" sheetId="10" r:id="rId13"/>
  </sheets>
  <definedNames>
    <definedName hidden="1" localSheetId="1" name="_xlnm._FilterDatabase">Myeloid_cells!$A$1:$Y$56</definedName>
    <definedName hidden="1" localSheetId="3" name="_xlnm._FilterDatabase">Lymphocytes!$A$1:$AC$99</definedName>
  </definedNames>
  <calcPr/>
  <extLst>
    <ext uri="GoogleSheetsCustomDataVersion2">
      <go:sheetsCustomData xmlns:go="http://customooxmlschemas.google.com/" r:id="rId14" roundtripDataChecksum="RSAmNM/aw7nNwhmalOP/2oRbFESyZgE27jPMFKc6HuU="/>
    </ext>
  </extLst>
</workbook>
</file>

<file path=xl/sharedStrings.xml><?xml version="1.0" encoding="utf-8"?>
<sst xmlns="http://schemas.openxmlformats.org/spreadsheetml/2006/main" count="2758" uniqueCount="936">
  <si>
    <t>tissue</t>
  </si>
  <si>
    <t>subtissue</t>
  </si>
  <si>
    <t>comment</t>
  </si>
  <si>
    <t>mass</t>
  </si>
  <si>
    <t>sem</t>
  </si>
  <si>
    <t>groups</t>
  </si>
  <si>
    <t>front line organ</t>
  </si>
  <si>
    <t>for_final_table</t>
  </si>
  <si>
    <t>child_10y</t>
  </si>
  <si>
    <t>woman</t>
  </si>
  <si>
    <t>man</t>
  </si>
  <si>
    <t>Blood</t>
  </si>
  <si>
    <t>blood</t>
  </si>
  <si>
    <t>Red marrow</t>
  </si>
  <si>
    <t>marrow</t>
  </si>
  <si>
    <t>Bone Marrow</t>
  </si>
  <si>
    <t>Lymph nodes</t>
  </si>
  <si>
    <t>lymph system</t>
  </si>
  <si>
    <t>Lymph system</t>
  </si>
  <si>
    <t>Lymph vessels</t>
  </si>
  <si>
    <t>connective</t>
  </si>
  <si>
    <t>Spleen</t>
  </si>
  <si>
    <t>Thymus</t>
  </si>
  <si>
    <t>Tonsils</t>
  </si>
  <si>
    <t xml:space="preserve"> (2 palatine)</t>
  </si>
  <si>
    <t>Liver</t>
  </si>
  <si>
    <t>epithelial organ</t>
  </si>
  <si>
    <t>Esophagus</t>
  </si>
  <si>
    <t>GI</t>
  </si>
  <si>
    <t>Stomach</t>
  </si>
  <si>
    <t>Epithelium</t>
  </si>
  <si>
    <t>assuming 1/3</t>
  </si>
  <si>
    <t>LP</t>
  </si>
  <si>
    <t>Submucosa + Proper muscle</t>
  </si>
  <si>
    <t>SI</t>
  </si>
  <si>
    <t>Colon</t>
  </si>
  <si>
    <t>including rectum</t>
  </si>
  <si>
    <t>Lungs</t>
  </si>
  <si>
    <t>Parenchyma</t>
  </si>
  <si>
    <t>Pulmonary blood</t>
  </si>
  <si>
    <t xml:space="preserve"> (plus arterial and venous blood)</t>
  </si>
  <si>
    <t>Kidneys</t>
  </si>
  <si>
    <t>Renal cortex</t>
  </si>
  <si>
    <t>Others</t>
  </si>
  <si>
    <t>Medulla</t>
  </si>
  <si>
    <t>Pancreas</t>
  </si>
  <si>
    <t>Skin</t>
  </si>
  <si>
    <t>Epidermis</t>
  </si>
  <si>
    <t>Dermis</t>
  </si>
  <si>
    <t>Salivary glands</t>
  </si>
  <si>
    <t xml:space="preserve"> (3 prs.)</t>
  </si>
  <si>
    <t>Urinary bladder</t>
  </si>
  <si>
    <t>Testes</t>
  </si>
  <si>
    <t>Bronchial tree</t>
  </si>
  <si>
    <t>Larynx</t>
  </si>
  <si>
    <t>Breasts</t>
  </si>
  <si>
    <t>Thyroid</t>
  </si>
  <si>
    <t>Prostate gland</t>
  </si>
  <si>
    <t>Ureters</t>
  </si>
  <si>
    <t>Adrenal glands</t>
  </si>
  <si>
    <t>Gallbladder</t>
  </si>
  <si>
    <t>Trachea</t>
  </si>
  <si>
    <t>Urethra</t>
  </si>
  <si>
    <t>Pituitary gland</t>
  </si>
  <si>
    <t>Pineal gland</t>
  </si>
  <si>
    <t>Parathyroid glands</t>
  </si>
  <si>
    <t>Connective tissue</t>
  </si>
  <si>
    <t>Separable</t>
  </si>
  <si>
    <t>Periarticular tissue</t>
  </si>
  <si>
    <t>(total)</t>
  </si>
  <si>
    <t xml:space="preserve">Cartilage </t>
  </si>
  <si>
    <t>(skeletal)</t>
  </si>
  <si>
    <t>Skeletal Muscles</t>
  </si>
  <si>
    <t>muscle fiber</t>
  </si>
  <si>
    <t>Heart</t>
  </si>
  <si>
    <t>(without blood)</t>
  </si>
  <si>
    <t>Tongue</t>
  </si>
  <si>
    <t>Adipose tissue</t>
  </si>
  <si>
    <t>adipose tissue</t>
  </si>
  <si>
    <t>Brain</t>
  </si>
  <si>
    <t>CNS</t>
  </si>
  <si>
    <t>Spinal cord</t>
  </si>
  <si>
    <t xml:space="preserve">Eyes </t>
  </si>
  <si>
    <t>Epididymes</t>
  </si>
  <si>
    <t>Ovaries</t>
  </si>
  <si>
    <t>Fallopian tubes</t>
  </si>
  <si>
    <t>Uterus</t>
  </si>
  <si>
    <t>Yellow marrow</t>
  </si>
  <si>
    <t>Marrow inactive</t>
  </si>
  <si>
    <t>Bone</t>
  </si>
  <si>
    <t>extracellular solids</t>
  </si>
  <si>
    <t>GI content</t>
  </si>
  <si>
    <t>(food+digestive fluids)</t>
  </si>
  <si>
    <t>extracellular fluids</t>
  </si>
  <si>
    <t>Teeth</t>
  </si>
  <si>
    <t>Urinary bladder contents</t>
  </si>
  <si>
    <t>cerebrospinal fluid</t>
  </si>
  <si>
    <t>Hair</t>
  </si>
  <si>
    <t>Gallbladder's content</t>
  </si>
  <si>
    <t>(bile)</t>
  </si>
  <si>
    <t>Fingernails and toenails</t>
  </si>
  <si>
    <t>Source</t>
  </si>
  <si>
    <t>cell_type</t>
  </si>
  <si>
    <t>location</t>
  </si>
  <si>
    <t>specie</t>
  </si>
  <si>
    <t>population</t>
  </si>
  <si>
    <t>method</t>
  </si>
  <si>
    <t>original area [mu^2]</t>
  </si>
  <si>
    <t>thickness [mu]</t>
  </si>
  <si>
    <t>cells_per_area</t>
  </si>
  <si>
    <t>sem_cells_area</t>
  </si>
  <si>
    <t>ratio_of_target_to_anchor</t>
  </si>
  <si>
    <t>sem_ratio_of_target_to_anchor</t>
  </si>
  <si>
    <t>anchor_cells</t>
  </si>
  <si>
    <t>anchor_cells_sem</t>
  </si>
  <si>
    <t>anchor_density</t>
  </si>
  <si>
    <t>anchor_density_sem</t>
  </si>
  <si>
    <t>total_target_cells</t>
  </si>
  <si>
    <t>total_target_cells_sem</t>
  </si>
  <si>
    <t>relevant_tissue_volume</t>
  </si>
  <si>
    <t>relevant_tissue_volume_sem</t>
  </si>
  <si>
    <t>target_cells_density_per_g</t>
  </si>
  <si>
    <t>target_cells_density_sem</t>
  </si>
  <si>
    <t>Gates 1961</t>
  </si>
  <si>
    <t>Kupffer cells</t>
  </si>
  <si>
    <t>human</t>
  </si>
  <si>
    <t>healthy tissues from patients</t>
  </si>
  <si>
    <t>histology</t>
  </si>
  <si>
    <t>The same derivation we did in Sender &amp; Milo 2021. combining data regarding the fraction of Kupffer cells compared to stallete cells</t>
  </si>
  <si>
    <t>Stone et al. 1992</t>
  </si>
  <si>
    <t>Alveolar macrophages</t>
  </si>
  <si>
    <t>total volume of 8.2 cm^3 in alveolar macrophages</t>
  </si>
  <si>
    <t>Crapo et al. 1982</t>
  </si>
  <si>
    <t>healthy tissues deceased</t>
  </si>
  <si>
    <t>Ogawa et al. 2000</t>
  </si>
  <si>
    <t xml:space="preserve">Macrophage </t>
  </si>
  <si>
    <t>our of total BM cellularity</t>
  </si>
  <si>
    <t>Lee et al. 1988</t>
  </si>
  <si>
    <t>Blood islands</t>
  </si>
  <si>
    <t>range of 5-30 erthroid cells per island (one macrophages)</t>
  </si>
  <si>
    <t>Lyck et. al.2019</t>
  </si>
  <si>
    <t>Microglia</t>
  </si>
  <si>
    <t>Immunohistochemistry</t>
  </si>
  <si>
    <t>calculated the density from the number estimates and the volume estimates (per donor)</t>
  </si>
  <si>
    <t>Pelvig et al. 2008</t>
  </si>
  <si>
    <t>healthy</t>
  </si>
  <si>
    <t>used their fraction as their total numbers seems low compared to Azvedo's</t>
  </si>
  <si>
    <t>Morgan-Bathke et al. 2017</t>
  </si>
  <si>
    <t>abdominal, femoral</t>
  </si>
  <si>
    <t>obease (BMI=32)</t>
  </si>
  <si>
    <t>values taken from the CD68+ population (macrophages)</t>
  </si>
  <si>
    <t>same paper, but given as ratio to adipocytes</t>
  </si>
  <si>
    <t>Halme et al. 1984</t>
  </si>
  <si>
    <t>Peritoneal liquid</t>
  </si>
  <si>
    <t>women</t>
  </si>
  <si>
    <t>FACS</t>
  </si>
  <si>
    <t>changes with the phases of the menstrual cycle</t>
  </si>
  <si>
    <t>McGovern et al. 2014</t>
  </si>
  <si>
    <t>Demal macrophages</t>
  </si>
  <si>
    <t>whole skin</t>
  </si>
  <si>
    <t>healthy women</t>
  </si>
  <si>
    <t>reference are dermal fibroblast</t>
  </si>
  <si>
    <t>CD1a+ Dendritic cells</t>
  </si>
  <si>
    <t>Bauer et al. 2001</t>
  </si>
  <si>
    <t>Langerhans cells</t>
  </si>
  <si>
    <t>calcuated from areal density and thickness of epidermis measured as 60 micron</t>
  </si>
  <si>
    <t>Singh et al. 2019</t>
  </si>
  <si>
    <t>tumor-remote regions</t>
  </si>
  <si>
    <t>Multiplex</t>
  </si>
  <si>
    <t>calcuated from the density of all cells (translated from areal to volume) and the fraction of macrophages</t>
  </si>
  <si>
    <t>Schmidt et al. 1993</t>
  </si>
  <si>
    <t>adbominal</t>
  </si>
  <si>
    <t xml:space="preserve">healthy </t>
  </si>
  <si>
    <t>taken only the meausrments from skeletal muscles and not the eye muscles</t>
  </si>
  <si>
    <t xml:space="preserve">Azzawi et al. 1997 </t>
  </si>
  <si>
    <t>given per HPF without area size, asumed similar to previous paper</t>
  </si>
  <si>
    <t>Gualdron-Lopez et al. 2021</t>
  </si>
  <si>
    <t>transplantation donors</t>
  </si>
  <si>
    <t>relative to all leukocytes (almost everything but RBCs) in the spleen, used the density found in the lymphocytes analysis</t>
  </si>
  <si>
    <t>Dendritic cells</t>
  </si>
  <si>
    <t>Nagashima et al. 1996</t>
  </si>
  <si>
    <t>Lamina propria macrophages</t>
  </si>
  <si>
    <t>data given as ratio to the epithelial cells above</t>
  </si>
  <si>
    <t>duodenum</t>
  </si>
  <si>
    <t>ileum, jejunum</t>
  </si>
  <si>
    <t>Rectum</t>
  </si>
  <si>
    <t>Van Furth &amp; Dulk</t>
  </si>
  <si>
    <t>mouse</t>
  </si>
  <si>
    <t>Greer et al. 2004</t>
  </si>
  <si>
    <t>Monocyte</t>
  </si>
  <si>
    <t>density of LN cells taken from non-human</t>
  </si>
  <si>
    <t>Kumar et al. 2015</t>
  </si>
  <si>
    <t>Macrophage</t>
  </si>
  <si>
    <t>Lee et al. 1985</t>
  </si>
  <si>
    <t>Bone marrow</t>
  </si>
  <si>
    <t>Absorption Indirect Binding Assay</t>
  </si>
  <si>
    <t>Cervical</t>
  </si>
  <si>
    <t>Mesenteric</t>
  </si>
  <si>
    <t>Peyer's patches</t>
  </si>
  <si>
    <t>Crocker &amp; Gordon, 1985</t>
  </si>
  <si>
    <t>Macrophage (resident BM)</t>
  </si>
  <si>
    <t>Isolation of hematopoietic clusters</t>
  </si>
  <si>
    <t>Kaur et al. 2018</t>
  </si>
  <si>
    <t>using Lee et al. 1985 oran mass</t>
  </si>
  <si>
    <t>Wang et al. 2020</t>
  </si>
  <si>
    <t>healthy tissues from old patients</t>
  </si>
  <si>
    <t>Imaging Mass Cytometric Analysis</t>
  </si>
  <si>
    <t>from supp fig, CD11b+ . We take a diameter of 18 micron</t>
  </si>
  <si>
    <t>from supp fig, CD11c+ . We take a diameter of 16 micron</t>
  </si>
  <si>
    <t>Sender &amp; Milo 2021</t>
  </si>
  <si>
    <t>integration of blood count</t>
  </si>
  <si>
    <t>Averging 5 sources</t>
  </si>
  <si>
    <t>Freudenthal and Steinman, 1990</t>
  </si>
  <si>
    <t>range given as 0.1-1% of total mononuclear blood cells</t>
  </si>
  <si>
    <t>Hanifa et al. 2009</t>
  </si>
  <si>
    <t>thickness of sample not given directly, assumed 300 microns based on Hanifa et al. 2012</t>
  </si>
  <si>
    <t>Chang et al. 2013</t>
  </si>
  <si>
    <t>healthy intra-mammary lymph nodes</t>
  </si>
  <si>
    <t>Percentage dendritic cells (DCs) out of all T cells, DCs, and other hematoxylin-stained cells identified in a node (%DCs)</t>
  </si>
  <si>
    <t>Neutrophil</t>
  </si>
  <si>
    <t>integration of previous studies</t>
  </si>
  <si>
    <t>mitotic pool</t>
  </si>
  <si>
    <t>post-mitotic pool</t>
  </si>
  <si>
    <t>other</t>
  </si>
  <si>
    <t>marginal pool</t>
  </si>
  <si>
    <t>Dhesi et al. 1984</t>
  </si>
  <si>
    <t>estimates based on the density of plasma cells from other studies, using the ratio of neurtrophils to plasma cells from Dhesi</t>
  </si>
  <si>
    <t>red pulp</t>
  </si>
  <si>
    <t>fraction of leukocytes (almost everything but RBCs)</t>
  </si>
  <si>
    <t>Liang et al. 2015</t>
  </si>
  <si>
    <t>macaques</t>
  </si>
  <si>
    <t>fraction out of live cells</t>
  </si>
  <si>
    <t>Lok et al. 2019</t>
  </si>
  <si>
    <t>fraction out of live cells, averaged over three LN</t>
  </si>
  <si>
    <t>Banat et al. 2015</t>
  </si>
  <si>
    <t>fraction of cells, total cells taken from Travaglini et al. 2020</t>
  </si>
  <si>
    <t>Donohue et al. 1958 + Harrison 1962 + Greer 2004</t>
  </si>
  <si>
    <t>Eosinophil</t>
  </si>
  <si>
    <t>integration</t>
  </si>
  <si>
    <t>the anchor is all nucleated cells in the BM</t>
  </si>
  <si>
    <t>non mitotic pool</t>
  </si>
  <si>
    <t>Walle &amp; Parawaresch 1979</t>
  </si>
  <si>
    <t>old cancer patients</t>
  </si>
  <si>
    <t>labeling study + model</t>
  </si>
  <si>
    <t>Blood count</t>
  </si>
  <si>
    <t>Sevitt 1955</t>
  </si>
  <si>
    <t>Thorsby et al. 2000</t>
  </si>
  <si>
    <t>rat</t>
  </si>
  <si>
    <t>the anchor is total thymus cells. according to MIBI-TOF</t>
  </si>
  <si>
    <t>Bischoff et al. 1996</t>
  </si>
  <si>
    <t>lower GI</t>
  </si>
  <si>
    <t>control</t>
  </si>
  <si>
    <t>DeBrosse et al. 2006</t>
  </si>
  <si>
    <t>children around age 10</t>
  </si>
  <si>
    <t>DeBrosse et al. 2007</t>
  </si>
  <si>
    <t>Duodenum</t>
  </si>
  <si>
    <t>DeBrosse et al. 2008</t>
  </si>
  <si>
    <t>Ileum</t>
  </si>
  <si>
    <t>DeBrosse et al. 2009</t>
  </si>
  <si>
    <t>DeBrosse et al. 2010</t>
  </si>
  <si>
    <t>Travaglini et al. 2020</t>
  </si>
  <si>
    <t>integration of histology</t>
  </si>
  <si>
    <t>based on Finkelstein et al. 1995 and Banat et al. 2015, anchor is all PMN, assuming neutriphil are more than half based on the previous study</t>
  </si>
  <si>
    <t>Kato et al., 1998</t>
  </si>
  <si>
    <t>Saad, 2011</t>
  </si>
  <si>
    <t>Mast cell</t>
  </si>
  <si>
    <t>children</t>
  </si>
  <si>
    <t>histology of bioposies</t>
  </si>
  <si>
    <t>two orders of magnitude more than in the epithleium</t>
  </si>
  <si>
    <t>control patients</t>
  </si>
  <si>
    <t>alveolar parenchyma</t>
  </si>
  <si>
    <t>derived from fraction of cells in histology</t>
  </si>
  <si>
    <t>Yang et al. 2018</t>
  </si>
  <si>
    <t>close to various locations (hair folliceles, nerve, muscle, adipose)</t>
  </si>
  <si>
    <t>averaged over different locations</t>
  </si>
  <si>
    <t>Rathod et al. 2018</t>
  </si>
  <si>
    <t>Gums</t>
  </si>
  <si>
    <t>healthy control</t>
  </si>
  <si>
    <t>Carrol et al. 2002</t>
  </si>
  <si>
    <t>cartilaginous airways</t>
  </si>
  <si>
    <t>membranous airways</t>
  </si>
  <si>
    <t>Anderson et al. 2008</t>
  </si>
  <si>
    <t>central airways</t>
  </si>
  <si>
    <t>small airways</t>
  </si>
  <si>
    <t>perivascular tissue</t>
  </si>
  <si>
    <t>Jiang et al. 2002</t>
  </si>
  <si>
    <t>Gastric carcinoma</t>
  </si>
  <si>
    <t>cancer patients</t>
  </si>
  <si>
    <t>only results are given relative to a threshold to 21/0.03 mm2, we use this as some reference</t>
  </si>
  <si>
    <t>Legere et al. 2020</t>
  </si>
  <si>
    <t>atria</t>
  </si>
  <si>
    <t>cardiac surgery patients</t>
  </si>
  <si>
    <t>thickness not given. assumed 5 mu</t>
  </si>
  <si>
    <t>Craig et al. 1986</t>
  </si>
  <si>
    <t>Keliod</t>
  </si>
  <si>
    <t>given as cells per mm^3 and tranformed by us to cm^3</t>
  </si>
  <si>
    <t>epithelial</t>
  </si>
  <si>
    <t>subepithelial</t>
  </si>
  <si>
    <t>alveolar parenchyma (subepithelial)</t>
  </si>
  <si>
    <t>mucosa</t>
  </si>
  <si>
    <t>submucosa</t>
  </si>
  <si>
    <t>Gounaris et al. 2007</t>
  </si>
  <si>
    <t>polyps</t>
  </si>
  <si>
    <t>field area was estimated based on supplemantry fig S5. assumed to represent both LP and submucosa</t>
  </si>
  <si>
    <t>Brockmeyer et al. 2017</t>
  </si>
  <si>
    <t>Gums, oral squamous cell carcinoma</t>
  </si>
  <si>
    <t>value is taken from the thershold cut-off for improving survival</t>
  </si>
  <si>
    <t>Kallionpää et al. 2022</t>
  </si>
  <si>
    <t>cNFs</t>
  </si>
  <si>
    <t>neurofibromatosis</t>
  </si>
  <si>
    <t>cutaneous neurofibromas</t>
  </si>
  <si>
    <t>neurofibromatosis 1 patients</t>
  </si>
  <si>
    <t>Lopez-Perez</t>
  </si>
  <si>
    <t>omental white AT</t>
  </si>
  <si>
    <t>obese, non Type 2 diabetes</t>
  </si>
  <si>
    <t>FACS on stromal vascular fraction out of 2-2.5g sample</t>
  </si>
  <si>
    <t>measurments of mast cells per g tissue</t>
  </si>
  <si>
    <t>subcutaneous white AT</t>
  </si>
  <si>
    <t>Mikhail et al. 1964</t>
  </si>
  <si>
    <t>given per cube mm</t>
  </si>
  <si>
    <t>Janssen et al. 2008</t>
  </si>
  <si>
    <t>average on proximal body sites and distal sites</t>
  </si>
  <si>
    <t>10 layers all in the dermis</t>
  </si>
  <si>
    <t>Greer 2004</t>
  </si>
  <si>
    <t>Differential Counts of Bone Marrow Aspirate</t>
  </si>
  <si>
    <t>out of total BM cellularity</t>
  </si>
  <si>
    <t>Basophil</t>
  </si>
  <si>
    <t>Juhlin, 1963</t>
  </si>
  <si>
    <t>bone marrow smears</t>
  </si>
  <si>
    <t xml:space="preserve">out of total white blood count </t>
  </si>
  <si>
    <t>Apoil et al. 2017</t>
  </si>
  <si>
    <t>T cells</t>
  </si>
  <si>
    <t>density==1, ml-&gt;g</t>
  </si>
  <si>
    <t>B cells</t>
  </si>
  <si>
    <t>NK cells</t>
  </si>
  <si>
    <t>Plasma cells</t>
  </si>
  <si>
    <t>plasmablast, density==1, ml-&gt;g</t>
  </si>
  <si>
    <t>Donohue et al. 1958</t>
  </si>
  <si>
    <t>Lymphocytes</t>
  </si>
  <si>
    <t>Fe59 method</t>
  </si>
  <si>
    <t>Harrison 1962</t>
  </si>
  <si>
    <t>Five studies</t>
  </si>
  <si>
    <t>Biopsies and cryostat sections</t>
  </si>
  <si>
    <t>see details in the subgroup and details tab</t>
  </si>
  <si>
    <t>morphlogical, flow cytometry</t>
  </si>
  <si>
    <t>Wang et al. 2020 + 5 studies</t>
  </si>
  <si>
    <t>Imaging Mass Cytometric Analysis + isolation, histology +</t>
  </si>
  <si>
    <t>see details in the subgroup and details tab (density of spleenic cells according to Wang * 75% lymphocyte portion)</t>
  </si>
  <si>
    <t xml:space="preserve">Turesson 1976 + Wang et al. 2020 </t>
  </si>
  <si>
    <t>Imaging Mass Cytometric Analysis + Ig markers</t>
  </si>
  <si>
    <t xml:space="preserve">Mei et al. 2015  + Wang et al. 2020 </t>
  </si>
  <si>
    <t>Imaging Mass Cytometric Analysis + flow cytometry</t>
  </si>
  <si>
    <t>Bar et al. 1988</t>
  </si>
  <si>
    <t>postmortem</t>
  </si>
  <si>
    <t>DNA content per g</t>
  </si>
  <si>
    <t>estimated from the DNA content per mg of samples of up until 1 day post mortem</t>
  </si>
  <si>
    <t>Rosse et al. 1971</t>
  </si>
  <si>
    <t>guinea pig</t>
  </si>
  <si>
    <t>DNA content per g (hemocytometer)</t>
  </si>
  <si>
    <t>Axillary</t>
  </si>
  <si>
    <t>Popeliteal</t>
  </si>
  <si>
    <t>Everett et al. 1964</t>
  </si>
  <si>
    <t>DNA content per g (colorimetric method)</t>
  </si>
  <si>
    <t>Monden et al. 1959</t>
  </si>
  <si>
    <t>DNA content per g (Schneider method)</t>
  </si>
  <si>
    <t>Pabst and Trepel 1975</t>
  </si>
  <si>
    <t>Paraaortal LN</t>
  </si>
  <si>
    <t>piglet</t>
  </si>
  <si>
    <t>Away 1962</t>
  </si>
  <si>
    <t>Battaglia et al. 2003 &amp; Backteman et al. 2012</t>
  </si>
  <si>
    <t>Flow cytometry</t>
  </si>
  <si>
    <t>values are relative to total cells in LN</t>
  </si>
  <si>
    <t>Turesson 1976 &amp; Mei et al. 2015</t>
  </si>
  <si>
    <t>Marušić et al. 1988, Weerkamp et al. 2005, Westerman &amp; Pabst 1992</t>
  </si>
  <si>
    <t>Immunohistochemistry, cell suspension, flow cytometry</t>
  </si>
  <si>
    <t>Data was scaraced. We combined two studies using regressionm. see detailed tab\</t>
  </si>
  <si>
    <t>Curry et al. 2000</t>
  </si>
  <si>
    <t>biopsy for lymphocyte isolation</t>
  </si>
  <si>
    <t>biopsy mass range 110-345 mg, lymph number range 2.5-6\ x10^6</t>
  </si>
  <si>
    <t>Flow cytometry, immunohistochemical</t>
  </si>
  <si>
    <t>Purwar et al. 2011</t>
  </si>
  <si>
    <t>Histology</t>
  </si>
  <si>
    <t>study gives values in mm^3</t>
  </si>
  <si>
    <t>Carpenter et al. 2017 &amp; Purwar et al. 2011</t>
  </si>
  <si>
    <t>from T:B ratios</t>
  </si>
  <si>
    <t>Dogra et al. 2020 &amp; Purwar et al. 2011</t>
  </si>
  <si>
    <t>NK out of all lymphocytes</t>
  </si>
  <si>
    <t>based on Banat et al. 2015, assumed uncertainty is ~30%</t>
  </si>
  <si>
    <t>Clark et al. 2006</t>
  </si>
  <si>
    <t>averaged over sun exposed and not sun exposed</t>
  </si>
  <si>
    <t>Westerman and Pabst 1992 &amp; Clark et al. 2006</t>
  </si>
  <si>
    <t>based on &gt;95% lymphocytes are T cells in the skin</t>
  </si>
  <si>
    <t>Wilson et al. 2019</t>
  </si>
  <si>
    <t>keloidalis skin</t>
  </si>
  <si>
    <t xml:space="preserve">reference are nucleated cells of the skin, the original values are lognormal with a geometrical </t>
  </si>
  <si>
    <t>Cerf-Benasuss &amp; Guy-Grand + Crowe &amp; Marsh</t>
  </si>
  <si>
    <t>using the ratio of epithelial to T cells from the first paper + a factor 2  due to overestiamtion based on the second. Epithelial cells were taken from Sender &amp; Milo 2021</t>
  </si>
  <si>
    <t>Preza et al. 2015</t>
  </si>
  <si>
    <t>average over colon and rectum. densities are given per mm^3 converted to per g</t>
  </si>
  <si>
    <t>Lymphocyte aggregate</t>
  </si>
  <si>
    <t>Ensary et al. 1993</t>
  </si>
  <si>
    <t>computer assisted morphometric analysis &amp; immunohistochemistry</t>
  </si>
  <si>
    <t>measured for rectal mucosa</t>
  </si>
  <si>
    <t>Dillon et al. 2019</t>
  </si>
  <si>
    <t>young adults</t>
  </si>
  <si>
    <t>assumed similar cd4+ to cd8+ as in colon for it both were measured</t>
  </si>
  <si>
    <t>sum of cd4+ and cd8+</t>
  </si>
  <si>
    <t>Brandtzaeg and Baklien 1976</t>
  </si>
  <si>
    <t>Ig+ cells</t>
  </si>
  <si>
    <t>Ig staining</t>
  </si>
  <si>
    <t>averging over ilum and jejunum values</t>
  </si>
  <si>
    <t>MacDonald et al. 1987</t>
  </si>
  <si>
    <t>Peyer's Patch</t>
  </si>
  <si>
    <t>in children (with GIT problems)</t>
  </si>
  <si>
    <t>isolation + immunocytochemistry</t>
  </si>
  <si>
    <t>Proportion were normalized to 1 because density is give for total lymphocytes</t>
  </si>
  <si>
    <t>Bartnik et al. 1980</t>
  </si>
  <si>
    <t>isolation</t>
  </si>
  <si>
    <t>"null" lymphocytes, without Ig or CD3+ assumed to be B cells</t>
  </si>
  <si>
    <t>Apostoaei and Trabalka 2012, MacDonald 2008, Lie 2020 + MacDonald 1987</t>
  </si>
  <si>
    <t>caclualtion of follicels lymphocytes</t>
  </si>
  <si>
    <t>calculated the number of lymphocytes in aggregates and assumed theire relation based on MacDonald 1987. See details in the relevant tab</t>
  </si>
  <si>
    <t>Magri et al. 2017</t>
  </si>
  <si>
    <t>Immunofluorescence Analysis</t>
  </si>
  <si>
    <t>estimated from  IgA plasma cells being 74% of the population</t>
  </si>
  <si>
    <t>Ig+ B cells</t>
  </si>
  <si>
    <t>estimated from  B cells Iglambda+ being 36% of the population</t>
  </si>
  <si>
    <t>Nair et al. 2015</t>
  </si>
  <si>
    <t>Flow Cytometery</t>
  </si>
  <si>
    <t>based on the fraction of Ig+ B cells out of all antibody secreting cells</t>
  </si>
  <si>
    <t>Dogra</t>
  </si>
  <si>
    <t>tp be calculated based on the total population of the SI or colon</t>
  </si>
  <si>
    <t>Engeset et al. 1973 + Westerman &amp; Pabst 1992</t>
  </si>
  <si>
    <t xml:space="preserve">Cannulation + cell count </t>
  </si>
  <si>
    <t>subpopulations according to Westerman and Pabst 1992 (averaged on Afferent abd Efferent)</t>
  </si>
  <si>
    <t>Engeset et al. 1974 + Westerman &amp; Pabst 1992</t>
  </si>
  <si>
    <t>Tauer et al. 2022</t>
  </si>
  <si>
    <t xml:space="preserve">Isolation of SVF cells -&gt;Flow cytometry, </t>
  </si>
  <si>
    <t>taken the svf cells as anchor. assumed hematopoietic, non macro/mono cells are lymphs</t>
  </si>
  <si>
    <t>Dykstra et al. 2020 + Laparra et al. 2019</t>
  </si>
  <si>
    <t>taken the svf cells as anchor. Used the cd45+ fraction and lymphocyte fraction from Laparra</t>
  </si>
  <si>
    <t>Laparra et al. 2019</t>
  </si>
  <si>
    <t>to be calculated from the total lymphocytes density</t>
  </si>
  <si>
    <t>Palming et al. 2006</t>
  </si>
  <si>
    <t>anchor are svf cells</t>
  </si>
  <si>
    <t>Renal Cortex</t>
  </si>
  <si>
    <t>assumed multiplex width is negligable</t>
  </si>
  <si>
    <t>Schmidt et al. 1993 + Liang et al 2015</t>
  </si>
  <si>
    <t>histology + flow cytometry</t>
  </si>
  <si>
    <t>based on the fraction of B/NK to T cells in Macaques from Liang</t>
  </si>
  <si>
    <t>Berry et al. 2021</t>
  </si>
  <si>
    <t>Immunohistology</t>
  </si>
  <si>
    <t>measured per cm^2</t>
  </si>
  <si>
    <t>Bergmann et al. 2015 &amp; Pinto et al. 2016</t>
  </si>
  <si>
    <t xml:space="preserve">anchor are total Leukocytes </t>
  </si>
  <si>
    <t>Rego et al. 1988 (Biopsy)</t>
  </si>
  <si>
    <t>taken from &gt;15 age group</t>
  </si>
  <si>
    <t>Thaler et al. 1989 (cryostat sections)</t>
  </si>
  <si>
    <t>Zhang et al. 2006 (</t>
  </si>
  <si>
    <t>Clark et al. 1986 (biopsy)</t>
  </si>
  <si>
    <t>in lymphoid window</t>
  </si>
  <si>
    <t>std</t>
  </si>
  <si>
    <t>nucleated BM</t>
  </si>
  <si>
    <t>Dogra et al. 2020 (FACS)</t>
  </si>
  <si>
    <t>Dogra IQR range</t>
  </si>
  <si>
    <t>mean before correction</t>
  </si>
  <si>
    <t>mean</t>
  </si>
  <si>
    <t>9%-29%</t>
  </si>
  <si>
    <t>monocytes</t>
  </si>
  <si>
    <t>CD33+/CD34- or CD34+/CD33-</t>
  </si>
  <si>
    <t>x10^9 estimated plasma cells</t>
  </si>
  <si>
    <t>lower</t>
  </si>
  <si>
    <t>upper</t>
  </si>
  <si>
    <t>trepel</t>
  </si>
  <si>
    <t>plasma/lymph</t>
  </si>
  <si>
    <t>new_estimate</t>
  </si>
  <si>
    <t>CD19+</t>
  </si>
  <si>
    <t>CD19-</t>
  </si>
  <si>
    <t>total</t>
  </si>
  <si>
    <t>Brynjolfsson et al. 2017</t>
  </si>
  <si>
    <t>% PC out of BMNC</t>
  </si>
  <si>
    <t>total PC</t>
  </si>
  <si>
    <t>plasma</t>
  </si>
  <si>
    <t xml:space="preserve">method </t>
  </si>
  <si>
    <t>Steiner and Pearson 1966</t>
  </si>
  <si>
    <t>morphplogical</t>
  </si>
  <si>
    <t>Mei et al. 2015</t>
  </si>
  <si>
    <t>Halliley et al. 2015</t>
  </si>
  <si>
    <t>Terstappen et al. 1990</t>
  </si>
  <si>
    <t>older studies</t>
  </si>
  <si>
    <t>cells/g</t>
  </si>
  <si>
    <t>cells/g sem</t>
  </si>
  <si>
    <t>lymph %</t>
  </si>
  <si>
    <t>lymp cells/g</t>
  </si>
  <si>
    <t>mass [g]</t>
  </si>
  <si>
    <t>Dogra et al. 2020</t>
  </si>
  <si>
    <t>median</t>
  </si>
  <si>
    <t>lower (25%)</t>
  </si>
  <si>
    <t>upper (75%)</t>
  </si>
  <si>
    <t>Li ZF et al. 2008</t>
  </si>
  <si>
    <t>NK fraction</t>
  </si>
  <si>
    <t>Buckley et al. 1984</t>
  </si>
  <si>
    <t>McMillan et al. 1972</t>
  </si>
  <si>
    <t>Longmire et al. 1973</t>
  </si>
  <si>
    <t>Levin et al. 1975</t>
  </si>
  <si>
    <t>McMillan et al. 1974</t>
  </si>
  <si>
    <t xml:space="preserve">Aggarwal et al. 2013 </t>
  </si>
  <si>
    <t>newer study</t>
  </si>
  <si>
    <t>Chu et al. 2014</t>
  </si>
  <si>
    <t>pixels/μm</t>
  </si>
  <si>
    <t>depth [mu]</t>
  </si>
  <si>
    <t>heighest densities</t>
  </si>
  <si>
    <t>region</t>
  </si>
  <si>
    <t>per 10^-5 pixel area</t>
  </si>
  <si>
    <t>per mu^2</t>
  </si>
  <si>
    <t>per mu^3</t>
  </si>
  <si>
    <t>per cm^3</t>
  </si>
  <si>
    <t>PALS</t>
  </si>
  <si>
    <t>MZ + part of RP</t>
  </si>
  <si>
    <t>Gualdron-Lopez 2021</t>
  </si>
  <si>
    <t>samples are not ordered</t>
  </si>
  <si>
    <t>Mac</t>
  </si>
  <si>
    <t>% of lymph out of nuceated cells</t>
  </si>
  <si>
    <t>RBC</t>
  </si>
  <si>
    <t>sample 1</t>
  </si>
  <si>
    <t>sample 2</t>
  </si>
  <si>
    <t>sample 3</t>
  </si>
  <si>
    <t>per FOV</t>
  </si>
  <si>
    <t>sample 4</t>
  </si>
  <si>
    <t>Li ZF et al.</t>
  </si>
  <si>
    <t>F</t>
  </si>
  <si>
    <t>MZ</t>
  </si>
  <si>
    <t>RP</t>
  </si>
  <si>
    <t>sample 5</t>
  </si>
  <si>
    <t>sample 6</t>
  </si>
  <si>
    <t>sum</t>
  </si>
  <si>
    <t>average</t>
  </si>
  <si>
    <t>all</t>
  </si>
  <si>
    <t>per g</t>
  </si>
  <si>
    <t>local density</t>
  </si>
  <si>
    <t>local mass</t>
  </si>
  <si>
    <t>WP fraction</t>
  </si>
  <si>
    <t>source</t>
  </si>
  <si>
    <t>IQR (25%-75%)</t>
  </si>
  <si>
    <t>local number</t>
  </si>
  <si>
    <t>Van Kriejeb et al. 1983</t>
  </si>
  <si>
    <t>WP lymp/g</t>
  </si>
  <si>
    <t>RP lymp/g</t>
  </si>
  <si>
    <t>total lymp/g</t>
  </si>
  <si>
    <t>assumed weight</t>
  </si>
  <si>
    <t>upper bound</t>
  </si>
  <si>
    <t>between Trepel and the measured in rats/pigs/guinee pigs</t>
  </si>
  <si>
    <t>lower bound</t>
  </si>
  <si>
    <t>SD of down from the mean of the two estimates</t>
  </si>
  <si>
    <t>Turesson 1976</t>
  </si>
  <si>
    <t>out of spleen cells</t>
  </si>
  <si>
    <t>out of lymphocytes</t>
  </si>
  <si>
    <t>plasma cells</t>
  </si>
  <si>
    <t>new estimate</t>
  </si>
  <si>
    <t>spleen</t>
  </si>
  <si>
    <t>Langeveled et al. 2006</t>
  </si>
  <si>
    <t xml:space="preserve">Reinecke &amp; Pabst 1983 </t>
  </si>
  <si>
    <t>IQR</t>
  </si>
  <si>
    <t>7%-24%</t>
  </si>
  <si>
    <t>% lymph/ cells</t>
  </si>
  <si>
    <t>subpopulations</t>
  </si>
  <si>
    <t>Battaglia et al. 2003</t>
  </si>
  <si>
    <t>Backteman et al. 2012</t>
  </si>
  <si>
    <t>out of all cells</t>
  </si>
  <si>
    <t xml:space="preserve">matching estimate from </t>
  </si>
  <si>
    <t>T</t>
  </si>
  <si>
    <t>B</t>
  </si>
  <si>
    <t>NK</t>
  </si>
  <si>
    <t>LLN</t>
  </si>
  <si>
    <t>MLN</t>
  </si>
  <si>
    <t>out of LN cells</t>
  </si>
  <si>
    <t>sem /lower</t>
  </si>
  <si>
    <t>cd19+</t>
  </si>
  <si>
    <t>basedd on scaling relative to Trepel 1974</t>
  </si>
  <si>
    <t>Marušić et al. 1988</t>
  </si>
  <si>
    <t>density (lymph/g)</t>
  </si>
  <si>
    <t>mass (g)</t>
  </si>
  <si>
    <t>total lymph</t>
  </si>
  <si>
    <t>Using data from</t>
  </si>
  <si>
    <t>cellular density</t>
  </si>
  <si>
    <t>large age range</t>
  </si>
  <si>
    <t>Weerkamp et al. 2005</t>
  </si>
  <si>
    <t>total cells per lobe</t>
  </si>
  <si>
    <t>we do two type of regessions</t>
  </si>
  <si>
    <t>all the data</t>
  </si>
  <si>
    <t>slope from Marušić data together with weerkamp et al. intersection</t>
  </si>
  <si>
    <t>taking the geomean</t>
  </si>
  <si>
    <t>age=26</t>
  </si>
  <si>
    <t>total thymus cells</t>
  </si>
  <si>
    <t>Westerman &amp; Pabst 1992</t>
  </si>
  <si>
    <t>almost entirly T cells</t>
  </si>
  <si>
    <t>Norris et al. 1988</t>
  </si>
  <si>
    <t>Doherty and O’Farrelly 2000 - Innate and adaptive lymphoid cells in the human liver</t>
  </si>
  <si>
    <t>Hata et al. 1990</t>
  </si>
  <si>
    <t>Jonsson et al. 1997</t>
  </si>
  <si>
    <t>summary of Norris et al.</t>
  </si>
  <si>
    <t>immunohistochemical</t>
  </si>
  <si>
    <t>perfution, FACS</t>
  </si>
  <si>
    <t>Kmiec, Z. 2001. Cooperation of Liver Cells in Health and Disease: With 18 Tables. Springer Science &amp; Business Media.</t>
  </si>
  <si>
    <t xml:space="preserve"> </t>
  </si>
  <si>
    <t>Carpenter et al. 2017</t>
  </si>
  <si>
    <t>T/B cell ratio</t>
  </si>
  <si>
    <t>lung</t>
  </si>
  <si>
    <t>lung LN</t>
  </si>
  <si>
    <t>Apostoaei and Trabalka 2012</t>
  </si>
  <si>
    <t>Following MacDonald 2008</t>
  </si>
  <si>
    <t>combined with Li et al. 2020</t>
  </si>
  <si>
    <t>Li et al. 2020</t>
  </si>
  <si>
    <t>median follicle diameter [mu]</t>
  </si>
  <si>
    <t>volume [cm^3]</t>
  </si>
  <si>
    <t>number of condensed lymph</t>
  </si>
  <si>
    <t>how densly packed?</t>
  </si>
  <si>
    <t>g lymph/g follicle</t>
  </si>
  <si>
    <t>asumed</t>
  </si>
  <si>
    <t>lymph/follicle</t>
  </si>
  <si>
    <t>follicles/ mm^2 surface</t>
  </si>
  <si>
    <t>total follicles</t>
  </si>
  <si>
    <t>total lymphs</t>
  </si>
  <si>
    <t>LI</t>
  </si>
  <si>
    <t>using number of follicles from MacDonald 2008</t>
  </si>
  <si>
    <t>PP</t>
  </si>
  <si>
    <t>possible that PP follicles are bigger or that there are more</t>
  </si>
  <si>
    <t>taking the average of the two estimates</t>
  </si>
  <si>
    <t>sem total lymphs</t>
  </si>
  <si>
    <t>out of CD19+ or CD27hiCD38hi</t>
  </si>
  <si>
    <t>(gated for CD3/14/16/56-)</t>
  </si>
  <si>
    <t>B cells fraction</t>
  </si>
  <si>
    <t>sd</t>
  </si>
  <si>
    <t>Antibodies secreting cells (ASC)</t>
  </si>
  <si>
    <t>Switched memory B cells (Switched MBC)</t>
  </si>
  <si>
    <t>total Ig positive</t>
  </si>
  <si>
    <t>IgM+ MBC</t>
  </si>
  <si>
    <t>ASC out of positive</t>
  </si>
  <si>
    <t>CD27- MBC</t>
  </si>
  <si>
    <t>Naive</t>
  </si>
  <si>
    <t>Mocusa (total)</t>
  </si>
  <si>
    <t>Ig containing cells</t>
  </si>
  <si>
    <t>B cells contining Ig</t>
  </si>
  <si>
    <t>Ig+ B Cells / Ig containing cells</t>
  </si>
  <si>
    <t>GI dimensions</t>
  </si>
  <si>
    <t>Nylund et al. 2012</t>
  </si>
  <si>
    <t xml:space="preserve">Nylund et al. 2012 and Cronin et al. 2012 for total thickness. Brandtzaeg and Baklien 1976 for mucosa thicknes (matching Ensary 1993 and similar to Nylund). Epithel &amp; LP fraction from Ensary's colon. </t>
  </si>
  <si>
    <t>ratio from Nylund et al. , assuming the thickness mucsa and completing the total thickness. results similar to Nylund values</t>
  </si>
  <si>
    <t>section</t>
  </si>
  <si>
    <t>length[cm]</t>
  </si>
  <si>
    <t>length sem</t>
  </si>
  <si>
    <t>length reference</t>
  </si>
  <si>
    <t>diameter [cm]</t>
  </si>
  <si>
    <t>diameter sem [cm]</t>
  </si>
  <si>
    <t>diameter refrence</t>
  </si>
  <si>
    <t>total SA [cm^2]</t>
  </si>
  <si>
    <t>total SA sem</t>
  </si>
  <si>
    <t>total wall thickness [cm]</t>
  </si>
  <si>
    <t>tw sem [cm]</t>
  </si>
  <si>
    <t>mucosa [cm]</t>
  </si>
  <si>
    <t>mucosa sem [cm]</t>
  </si>
  <si>
    <t>epithel (surface + crypt)</t>
  </si>
  <si>
    <t>lamina propria</t>
  </si>
  <si>
    <t>submucosa [cm]</t>
  </si>
  <si>
    <t>proper muscle [cm]</t>
  </si>
  <si>
    <t>total volume [cm3]</t>
  </si>
  <si>
    <t>total volume sem</t>
  </si>
  <si>
    <t>mucosal volume [cm3]</t>
  </si>
  <si>
    <t>mucosal volume sem</t>
  </si>
  <si>
    <t>epithel volume [cm3]</t>
  </si>
  <si>
    <t>epithel volume sem</t>
  </si>
  <si>
    <t>LP volume [cm3]</t>
  </si>
  <si>
    <t>LP volume sem</t>
  </si>
  <si>
    <t>Doudenum</t>
  </si>
  <si>
    <t>Hounnou et al. 2002, Weaver et al. 1991, Snyder 1975 (for subdivision)</t>
  </si>
  <si>
    <t>Cronin et al. 2010</t>
  </si>
  <si>
    <t>Jejunum</t>
  </si>
  <si>
    <t>Ilum</t>
  </si>
  <si>
    <t>Snyder et al. 1975, Helander &amp; Fändriks, 2014, ICRP2002</t>
  </si>
  <si>
    <t>Khashab et al. 2009</t>
  </si>
  <si>
    <t>totals</t>
  </si>
  <si>
    <t xml:space="preserve">Colon </t>
  </si>
  <si>
    <t>(including rectum)</t>
  </si>
  <si>
    <t>PP mass [g]</t>
  </si>
  <si>
    <t>Trepel</t>
  </si>
  <si>
    <t>Intestine specific gravity</t>
  </si>
  <si>
    <t>Snyder et al. 1975</t>
  </si>
  <si>
    <t>Adipose_STL001</t>
  </si>
  <si>
    <t>Adipose_STL002</t>
  </si>
  <si>
    <t>Adipose_STL003</t>
  </si>
  <si>
    <t>Aorta_STL002</t>
  </si>
  <si>
    <t>Aorta_STL003</t>
  </si>
  <si>
    <t>Bladder_STL001</t>
  </si>
  <si>
    <t>Brain-Astrocyte-741</t>
  </si>
  <si>
    <t>Brain-Brodmann11-681</t>
  </si>
  <si>
    <t>Brain-Brodmann11-731</t>
  </si>
  <si>
    <t>Brain-Cerebellum-724</t>
  </si>
  <si>
    <t>Brain-Cerebellum-749</t>
  </si>
  <si>
    <t>Brain-Cerebellum-761</t>
  </si>
  <si>
    <t>Brain-Cerebellum-898</t>
  </si>
  <si>
    <t>Brain-Cortex-762</t>
  </si>
  <si>
    <t>Brain-Cortex-869</t>
  </si>
  <si>
    <t>Brain-Germinal-Matrix-821</t>
  </si>
  <si>
    <t>Brain-Hippocampus-794</t>
  </si>
  <si>
    <t>Brain-Insular-Cortex-837</t>
  </si>
  <si>
    <t>Brain-MGE-798</t>
  </si>
  <si>
    <t>Brain-MGE-843</t>
  </si>
  <si>
    <t>Brain-MGE-882</t>
  </si>
  <si>
    <t>Breast-Fibroblast-838</t>
  </si>
  <si>
    <t>Breast-Fibroblast-917</t>
  </si>
  <si>
    <t>Breast-Luminal-Epithel-782</t>
  </si>
  <si>
    <t>Breast-Luminal-Epithel-873</t>
  </si>
  <si>
    <t>Breast-Mammary-Epithel-735</t>
  </si>
  <si>
    <t>mammary_epithelial_cell_714</t>
  </si>
  <si>
    <t>mammary_epithelial_cell_715</t>
  </si>
  <si>
    <t>Breast-Myoepithel-694</t>
  </si>
  <si>
    <t>Breast-Myoepithel-770</t>
  </si>
  <si>
    <t>Breast-Myoepithel-771</t>
  </si>
  <si>
    <t>Breast-Myoepithel-778</t>
  </si>
  <si>
    <t>Breast-Progenitor-Enriched-927</t>
  </si>
  <si>
    <t>esophagus_squamous_epithelium_903</t>
  </si>
  <si>
    <t>transverse_colon_891</t>
  </si>
  <si>
    <t>transverse_colon_912</t>
  </si>
  <si>
    <t>Sigmoid_Colon_STL001</t>
  </si>
  <si>
    <t>Sigmoid_Colon_STL003</t>
  </si>
  <si>
    <t>Esophagus_STL002</t>
  </si>
  <si>
    <t>Esophagus_STL003</t>
  </si>
  <si>
    <t>esophagus_muscularis_mucosa_926</t>
  </si>
  <si>
    <t>esophagus_squamous_epithelium_925</t>
  </si>
  <si>
    <t>fibroblast_of_arm_642</t>
  </si>
  <si>
    <t>fibroblast_of_arm_643</t>
  </si>
  <si>
    <t>Gastric_STL001</t>
  </si>
  <si>
    <t>Gastric_STL002</t>
  </si>
  <si>
    <t>Gastric_STL003</t>
  </si>
  <si>
    <t>gastroesophageal_sphincter_904</t>
  </si>
  <si>
    <t>gastroesophageal_sphincter_924</t>
  </si>
  <si>
    <t>hepatocyte_899</t>
  </si>
  <si>
    <t>Liver_STL011</t>
  </si>
  <si>
    <t>right_lobe_of_liver_886</t>
  </si>
  <si>
    <t>right_lobe_of_liver_887</t>
  </si>
  <si>
    <t>Lung_STL001</t>
  </si>
  <si>
    <t>Lung_STL002</t>
  </si>
  <si>
    <t>upper_lobe_of_left_lung_893</t>
  </si>
  <si>
    <t>upper_lobe_of_left_lung_913</t>
  </si>
  <si>
    <t>ovary_895</t>
  </si>
  <si>
    <t>ovary_922</t>
  </si>
  <si>
    <t>Ovary_STL002</t>
  </si>
  <si>
    <t>body_of_pancreas_897</t>
  </si>
  <si>
    <t>body_of_pancreas_930</t>
  </si>
  <si>
    <t>Pancreas_STL002</t>
  </si>
  <si>
    <t>Pancreas_STL003</t>
  </si>
  <si>
    <t>Pancreas-Islet-695</t>
  </si>
  <si>
    <t>Penis-Skin-Fibroblast-926</t>
  </si>
  <si>
    <t>Penis-Skin-Keratinocyte-901</t>
  </si>
  <si>
    <t>Penis-Skin-Melanocyte-696</t>
  </si>
  <si>
    <t>prostate_gland_919</t>
  </si>
  <si>
    <t>Psoas_Muscle_STL001</t>
  </si>
  <si>
    <t>Psoas_Muscle_STL002</t>
  </si>
  <si>
    <t>Psoas_Muscle_STL003</t>
  </si>
  <si>
    <t>Right_Atrium_STL003</t>
  </si>
  <si>
    <t>skeletal_muscle_myoblast_450</t>
  </si>
  <si>
    <t>skeletal_muscle_myoblast_451</t>
  </si>
  <si>
    <t>Skin-Nevus-739</t>
  </si>
  <si>
    <t>lower_leg_skin_888</t>
  </si>
  <si>
    <t>lower_leg_skin_927</t>
  </si>
  <si>
    <t>suprapubic_skin_892</t>
  </si>
  <si>
    <t>Small_Intestine_STL001</t>
  </si>
  <si>
    <t>Small_Intestine_STL002</t>
  </si>
  <si>
    <t>Small_Intestine_STL003</t>
  </si>
  <si>
    <t>smooth_muscle_884</t>
  </si>
  <si>
    <t>smooth_muscle_885</t>
  </si>
  <si>
    <t>smooth_muscle_928</t>
  </si>
  <si>
    <t>smooth_muscle_929</t>
  </si>
  <si>
    <t>stomach_894</t>
  </si>
  <si>
    <t>stomach_907</t>
  </si>
  <si>
    <t>thyroid_gland_900</t>
  </si>
  <si>
    <t>thyroid_gland_908</t>
  </si>
  <si>
    <t>tibial_nerve_911</t>
  </si>
  <si>
    <t>tibial_nerve_916</t>
  </si>
  <si>
    <t>heart_left_ventricle_896</t>
  </si>
  <si>
    <t>heart_left_ventricle_918</t>
  </si>
  <si>
    <t>Left_Ventricle_STL001</t>
  </si>
  <si>
    <t>Left_Ventricle_STL003</t>
  </si>
  <si>
    <t>Right_Ventricle_STL001</t>
  </si>
  <si>
    <t>Right_Ventricle_STL003</t>
  </si>
  <si>
    <t>Adipocytes</t>
  </si>
  <si>
    <t>Prostate-Ep</t>
  </si>
  <si>
    <t>Bladder-Ep</t>
  </si>
  <si>
    <t>Blood-B</t>
  </si>
  <si>
    <t>Blood-Granul</t>
  </si>
  <si>
    <t>Blood-Mono+Macro</t>
  </si>
  <si>
    <t>Blood-NK</t>
  </si>
  <si>
    <t>Blood-T</t>
  </si>
  <si>
    <t>Breast-Basal-Ep</t>
  </si>
  <si>
    <t>Breast-Luminal-Ep</t>
  </si>
  <si>
    <t>Endothel</t>
  </si>
  <si>
    <t>Liver-Hep</t>
  </si>
  <si>
    <t>Lung-Ep-Alveo</t>
  </si>
  <si>
    <t>Lung-Ep-Bron</t>
  </si>
  <si>
    <t>Ovary-Ep</t>
  </si>
  <si>
    <t>Fallopian-Ep</t>
  </si>
  <si>
    <t>Colon-Ep</t>
  </si>
  <si>
    <t>Gastric-Ep</t>
  </si>
  <si>
    <t>Small-Int-Ep</t>
  </si>
  <si>
    <t>Head-Neck-Ep</t>
  </si>
  <si>
    <t>Dermal-Fibro</t>
  </si>
  <si>
    <t>Epid-Kerat</t>
  </si>
  <si>
    <t>Heart-Cardio</t>
  </si>
  <si>
    <t>Heart-Fibro</t>
  </si>
  <si>
    <t>Kidney-Ep</t>
  </si>
  <si>
    <t>Skeletal-Musc</t>
  </si>
  <si>
    <t>Smooth-Musc</t>
  </si>
  <si>
    <t>Neuron</t>
  </si>
  <si>
    <t>Oligodend</t>
  </si>
  <si>
    <t>Thyroid-Ep</t>
  </si>
  <si>
    <t>Pancreas-Acinar</t>
  </si>
  <si>
    <t>Pancreas-Alpha</t>
  </si>
  <si>
    <t>Pancreas-Beta</t>
  </si>
  <si>
    <t>Pancreas-Delta</t>
  </si>
  <si>
    <t>Pancreas-Duct</t>
  </si>
  <si>
    <t>Colon-Fibro</t>
  </si>
  <si>
    <t>possible_names</t>
  </si>
  <si>
    <t>anchor_cell</t>
  </si>
  <si>
    <t>Loyfer_name</t>
  </si>
  <si>
    <t>anchor_cell_number</t>
  </si>
  <si>
    <t>anchor_cell_unc</t>
  </si>
  <si>
    <t>reference</t>
  </si>
  <si>
    <t>Adipose</t>
  </si>
  <si>
    <t>Epithelial cells</t>
  </si>
  <si>
    <t>Gastric, Stomach</t>
  </si>
  <si>
    <t>Hepatocyte, Liver</t>
  </si>
  <si>
    <t>Hepatocytes</t>
  </si>
  <si>
    <t>Heinke et al. 2022</t>
  </si>
  <si>
    <t>Lung</t>
  </si>
  <si>
    <t>Alveolar epithelial cells</t>
  </si>
  <si>
    <t>Skin_Epi</t>
  </si>
  <si>
    <t>Keratinocytes</t>
  </si>
  <si>
    <t>Dermal fibroblast</t>
  </si>
  <si>
    <t>Beta cells</t>
  </si>
  <si>
    <t>Meier et al. 2008</t>
  </si>
  <si>
    <t>Skeletal muscles</t>
  </si>
  <si>
    <t>Skeletal, Psoas</t>
  </si>
  <si>
    <t>muscle fibers</t>
  </si>
  <si>
    <t>estimated number of nuclei, using nucekai domain volume and total cellular mass</t>
  </si>
  <si>
    <t>Small Intestine</t>
  </si>
  <si>
    <t>Atrium, Ventricle</t>
  </si>
  <si>
    <t>Cardiomyocytes</t>
  </si>
  <si>
    <t>cell_type_name</t>
  </si>
  <si>
    <t>monocyte_derived_mac</t>
  </si>
  <si>
    <t>mean_diameter</t>
  </si>
  <si>
    <t>std_diameter</t>
  </si>
  <si>
    <t>sem_diameter</t>
  </si>
  <si>
    <t>min_diameter</t>
  </si>
  <si>
    <t>max_diameter</t>
  </si>
  <si>
    <t>mean_volume_fl</t>
  </si>
  <si>
    <t>std_volume_fl</t>
  </si>
  <si>
    <t>sem_volume_fl</t>
  </si>
  <si>
    <t>N</t>
  </si>
  <si>
    <t>Kuse et al., 1985</t>
  </si>
  <si>
    <t>Lymphocyte</t>
  </si>
  <si>
    <t>Coulter counter</t>
  </si>
  <si>
    <t>Zheng et al., 2015</t>
  </si>
  <si>
    <t>Segel et al., 1981</t>
  </si>
  <si>
    <t>Schmid-Schönbein et al., 1980</t>
  </si>
  <si>
    <t xml:space="preserve">Transmission Electron Microscopy </t>
  </si>
  <si>
    <t>Downey et al., 1990</t>
  </si>
  <si>
    <t>Flow Cytometer</t>
  </si>
  <si>
    <t>Zipursky et al., 1976</t>
  </si>
  <si>
    <t>Nibbering et al., 1990</t>
  </si>
  <si>
    <t>Chapam et al., 1981</t>
  </si>
  <si>
    <t>Ince et al., 1987</t>
  </si>
  <si>
    <t>Ting-Beall et al. 1993</t>
  </si>
  <si>
    <t>light microscope, micropipette technique</t>
  </si>
  <si>
    <t>sem taken as the variation between their distinct methods</t>
  </si>
  <si>
    <t>Bouwens et al. 1986</t>
  </si>
  <si>
    <t>no</t>
  </si>
  <si>
    <t>light microscope</t>
  </si>
  <si>
    <t>Krombach et al. 1997</t>
  </si>
  <si>
    <t>Granulocyte</t>
  </si>
  <si>
    <t>van Furth et al. 1984</t>
  </si>
  <si>
    <t>yes</t>
  </si>
  <si>
    <t>Peritoneal</t>
  </si>
  <si>
    <t>Becker 1984</t>
  </si>
  <si>
    <t>Tissue cultured monocytes</t>
  </si>
  <si>
    <t>monocytes cultured without interferon for 6 days</t>
  </si>
  <si>
    <t>monocytes cultured with interferon for 6 days</t>
  </si>
  <si>
    <t>Freitas 2003</t>
  </si>
  <si>
    <t>textbook diameter ranges</t>
  </si>
  <si>
    <t>Darvishian et al. 2002</t>
  </si>
  <si>
    <t xml:space="preserve">Langerhans cell </t>
  </si>
  <si>
    <t>assuming diameters from smears ("in suspension") are overestimating diameter by 30%</t>
  </si>
  <si>
    <t>Kaushansky et al. 2010</t>
  </si>
  <si>
    <t>Plasma cell</t>
  </si>
  <si>
    <t>Sokol et al. 1991</t>
  </si>
  <si>
    <t>ultrastructural morphometry</t>
  </si>
  <si>
    <t>method is biased toward underestimates</t>
  </si>
  <si>
    <t>Tigner et al. 2022</t>
  </si>
  <si>
    <t>Tissues</t>
  </si>
  <si>
    <t>Bradding 2009</t>
  </si>
  <si>
    <t>Schulman et al. 1983</t>
  </si>
  <si>
    <t>Graw and Regoes, 2012</t>
  </si>
  <si>
    <t>they assume based on previous literature</t>
  </si>
  <si>
    <t>Dumortier et al. 2005</t>
  </si>
  <si>
    <t>assuming the dendritels add 20% of volume</t>
  </si>
  <si>
    <t>Hart and McKenzie 1988</t>
  </si>
  <si>
    <t>body size")</t>
  </si>
  <si>
    <t>Franco-Bocanegra et al. 2021</t>
  </si>
  <si>
    <t>3D-Reconstruction and assessment of morphological features</t>
  </si>
  <si>
    <t xml:space="preserve">lognormal distribution, given 260 for the cell body. Abdolhoseini gives a ratio of 520 total cell volume to 124 soma volume (we assume to correspond to </t>
  </si>
  <si>
    <t>Abdolhoseini et al. 2019</t>
  </si>
  <si>
    <t>Organ</t>
  </si>
  <si>
    <t>Segment</t>
  </si>
  <si>
    <t>TSP14</t>
  </si>
  <si>
    <t>TSP2</t>
  </si>
  <si>
    <t>Comment</t>
  </si>
  <si>
    <t>Ref_num_cells</t>
  </si>
  <si>
    <t>Ref_err</t>
  </si>
  <si>
    <t>Aorta</t>
  </si>
  <si>
    <t>Endothelial</t>
  </si>
  <si>
    <t>Immune</t>
  </si>
  <si>
    <t>Stromal</t>
  </si>
  <si>
    <t>Bladder</t>
  </si>
  <si>
    <t>Epithelial</t>
  </si>
  <si>
    <t>Tabula Sapiens, 2022</t>
  </si>
  <si>
    <t>PNS</t>
  </si>
  <si>
    <t>Diaphragm</t>
  </si>
  <si>
    <t>TSP14 averaged over acending and sigmoid, TSP2 averaged over proximal and distal</t>
  </si>
  <si>
    <t>Small intestine</t>
  </si>
  <si>
    <t>weigted average over the mass of the SI segmens: 40g Doud, 300g ilum</t>
  </si>
  <si>
    <t>Lung(distal)</t>
  </si>
  <si>
    <t>Lung(proximal)</t>
  </si>
  <si>
    <t>Lymph Node</t>
  </si>
  <si>
    <t>Muscle</t>
  </si>
  <si>
    <t>Averaged over subcutaneous and mesenteric fat</t>
  </si>
  <si>
    <t>Bergmann et al. 2015</t>
  </si>
  <si>
    <t>Wright et al.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</si>
</sst>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E+00"/>
    <numFmt numFmtId="165" formatCode="0.0%"/>
    <numFmt numFmtId="166" formatCode="0E+00"/>
    <numFmt numFmtId="167" formatCode="0.0"/>
    <numFmt numFmtId="168" formatCode="0.000"/>
    <numFmt numFmtId="169" formatCode="0.000%"/>
  </numFmts>
  <fonts count="22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FFFFFF"/>
      <name val="Arial"/>
    </font>
    <font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1F1F1F"/>
      <name val="Calibri"/>
    </font>
    <font>
      <color theme="1"/>
      <name val="Arial"/>
    </font>
    <font>
      <color rgb="FF4285F4"/>
      <name val="Arial"/>
    </font>
    <font>
      <b/>
      <color theme="1"/>
      <name val="Arial"/>
    </font>
    <font>
      <b/>
      <color theme="1"/>
      <name val="Calibri"/>
    </font>
    <font>
      <color rgb="FF999999"/>
      <name val="Arial"/>
    </font>
    <font>
      <color rgb="FFB7B7B7"/>
      <name val="Arial"/>
    </font>
    <font>
      <i/>
      <color theme="1"/>
      <name val="Arial"/>
    </font>
    <font>
      <b/>
      <i/>
      <color theme="1"/>
      <name val="Arial"/>
    </font>
    <font>
      <color rgb="FF757575"/>
      <name val="Arial"/>
    </font>
    <font>
      <color rgb="FF980000"/>
      <name val="Arial"/>
    </font>
    <font>
      <color rgb="FFCCCCCC"/>
      <name val="Arial"/>
    </font>
    <font>
      <i/>
      <color theme="1"/>
      <name val="Calibri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">
    <border/>
    <border>
      <left/>
      <right/>
      <top/>
      <bottom/>
    </border>
    <border>
      <bottom style="thin">
        <color rgb="FF9CC2E5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1" fillId="2" fontId="3" numFmtId="0" xfId="0" applyAlignment="1" applyBorder="1" applyFill="1" applyFont="1">
      <alignment shrinkToFit="0" wrapText="1"/>
    </xf>
    <xf borderId="0" fillId="0" fontId="4" numFmtId="0" xfId="0" applyFont="1"/>
    <xf borderId="1" fillId="2" fontId="3" numFmtId="0" xfId="0" applyAlignment="1" applyBorder="1" applyFont="1">
      <alignment vertical="center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1" fillId="6" fontId="2" numFmtId="0" xfId="0" applyAlignment="1" applyBorder="1" applyFill="1" applyFont="1">
      <alignment shrinkToFit="0" wrapText="1"/>
    </xf>
    <xf borderId="1" fillId="7" fontId="2" numFmtId="0" xfId="0" applyAlignment="1" applyBorder="1" applyFill="1" applyFont="1">
      <alignment shrinkToFit="0" wrapText="1"/>
    </xf>
    <xf borderId="0" fillId="0" fontId="5" numFmtId="0" xfId="0" applyAlignment="1" applyFont="1">
      <alignment shrinkToFit="0" wrapText="1"/>
    </xf>
    <xf borderId="1" fillId="8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8" fontId="2" numFmtId="0" xfId="0" applyAlignment="1" applyBorder="1" applyFont="1">
      <alignment shrinkToFit="0" wrapText="1"/>
    </xf>
    <xf borderId="0" fillId="0" fontId="5" numFmtId="11" xfId="0" applyFont="1" applyNumberFormat="1"/>
    <xf borderId="0" fillId="0" fontId="5" numFmtId="10" xfId="0" applyFont="1" applyNumberFormat="1"/>
    <xf borderId="0" fillId="0" fontId="5" numFmtId="9" xfId="0" applyFont="1" applyNumberFormat="1"/>
    <xf borderId="0" fillId="0" fontId="5" numFmtId="164" xfId="0" applyFont="1" applyNumberForma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vertical="bottom"/>
    </xf>
    <xf borderId="0" fillId="0" fontId="7" numFmtId="11" xfId="0" applyAlignment="1" applyFont="1" applyNumberFormat="1">
      <alignment vertical="bottom"/>
    </xf>
    <xf borderId="0" fillId="0" fontId="7" numFmtId="11" xfId="0" applyFont="1" applyNumberFormat="1"/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shrinkToFit="0" vertical="bottom" wrapText="0"/>
    </xf>
    <xf borderId="0" fillId="9" fontId="8" numFmtId="0" xfId="0" applyFill="1" applyFont="1"/>
    <xf borderId="0" fillId="0" fontId="7" numFmtId="165" xfId="0" applyAlignment="1" applyFont="1" applyNumberFormat="1">
      <alignment horizontal="right" vertical="bottom"/>
    </xf>
    <xf borderId="0" fillId="0" fontId="7" numFmtId="166" xfId="0" applyFont="1" applyNumberFormat="1"/>
    <xf borderId="0" fillId="0" fontId="7" numFmtId="164" xfId="0" applyFont="1" applyNumberFormat="1"/>
    <xf borderId="0" fillId="0" fontId="7" numFmtId="10" xfId="0" applyAlignment="1" applyFont="1" applyNumberFormat="1">
      <alignment horizontal="right" vertical="bottom"/>
    </xf>
    <xf borderId="0" fillId="0" fontId="7" numFmtId="9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0" fontId="7" numFmtId="166" xfId="0" applyAlignment="1" applyFont="1" applyNumberFormat="1">
      <alignment vertical="bottom"/>
    </xf>
    <xf borderId="0" fillId="0" fontId="7" numFmtId="11" xfId="0" applyAlignment="1" applyFont="1" applyNumberFormat="1">
      <alignment horizontal="right" vertical="bottom"/>
    </xf>
    <xf borderId="0" fillId="0" fontId="7" numFmtId="9" xfId="0" applyFont="1" applyNumberFormat="1"/>
    <xf borderId="0" fillId="0" fontId="7" numFmtId="165" xfId="0" applyAlignment="1" applyFont="1" applyNumberFormat="1">
      <alignment vertical="bottom"/>
    </xf>
    <xf borderId="0" fillId="0" fontId="7" numFmtId="10" xfId="0" applyFont="1" applyNumberFormat="1"/>
    <xf borderId="0" fillId="0" fontId="4" numFmtId="9" xfId="0" applyFont="1" applyNumberFormat="1"/>
    <xf borderId="0" fillId="0" fontId="4" numFmtId="165" xfId="0" applyFont="1" applyNumberFormat="1"/>
    <xf borderId="0" fillId="0" fontId="4" numFmtId="10" xfId="0" applyFont="1" applyNumberFormat="1"/>
    <xf borderId="0" fillId="0" fontId="4" numFmtId="166" xfId="0" applyAlignment="1" applyFont="1" applyNumberFormat="1">
      <alignment horizontal="right" vertical="bottom"/>
    </xf>
    <xf borderId="0" fillId="0" fontId="4" numFmtId="166" xfId="0" applyFont="1" applyNumberFormat="1"/>
    <xf borderId="0" fillId="0" fontId="4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0" fontId="7" numFmtId="1" xfId="0" applyAlignment="1" applyFont="1" applyNumberFormat="1">
      <alignment vertical="bottom"/>
    </xf>
    <xf borderId="0" fillId="0" fontId="7" numFmtId="1" xfId="0" applyAlignment="1" applyFont="1" applyNumberFormat="1">
      <alignment horizontal="right" vertical="bottom"/>
    </xf>
    <xf borderId="0" fillId="0" fontId="4" numFmtId="11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9" numFmtId="11" xfId="0" applyAlignment="1" applyFont="1" applyNumberFormat="1">
      <alignment vertical="bottom"/>
    </xf>
    <xf borderId="0" fillId="0" fontId="9" numFmtId="166" xfId="0" applyAlignment="1" applyFont="1" applyNumberFormat="1">
      <alignment vertical="bottom"/>
    </xf>
    <xf borderId="0" fillId="0" fontId="10" numFmtId="166" xfId="0" applyAlignment="1" applyFont="1" applyNumberFormat="1">
      <alignment horizontal="center" vertical="bottom"/>
    </xf>
    <xf borderId="0" fillId="0" fontId="10" numFmtId="11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10" numFmtId="164" xfId="0" applyAlignment="1" applyFont="1" applyNumberFormat="1">
      <alignment horizontal="right" vertical="bottom"/>
    </xf>
    <xf borderId="0" fillId="0" fontId="7" numFmtId="167" xfId="0" applyAlignment="1" applyFont="1" applyNumberFormat="1">
      <alignment horizontal="right" vertical="bottom"/>
    </xf>
    <xf borderId="0" fillId="0" fontId="9" numFmtId="0" xfId="0" applyAlignment="1" applyFont="1">
      <alignment shrinkToFit="0" vertical="bottom" wrapText="0"/>
    </xf>
    <xf borderId="0" fillId="0" fontId="9" numFmtId="9" xfId="0" applyAlignment="1" applyFont="1" applyNumberFormat="1">
      <alignment horizontal="right" vertical="bottom"/>
    </xf>
    <xf borderId="0" fillId="0" fontId="9" numFmtId="10" xfId="0" applyAlignment="1" applyFont="1" applyNumberFormat="1">
      <alignment horizontal="right" vertical="bottom"/>
    </xf>
    <xf borderId="0" fillId="9" fontId="9" numFmtId="0" xfId="0" applyAlignment="1" applyFon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9" numFmtId="1" xfId="0" applyAlignment="1" applyFont="1" applyNumberFormat="1">
      <alignment vertical="bottom"/>
    </xf>
    <xf borderId="0" fillId="9" fontId="9" numFmtId="0" xfId="0" applyAlignment="1" applyFont="1">
      <alignment shrinkToFit="0" vertical="bottom" wrapText="0"/>
    </xf>
    <xf borderId="0" fillId="0" fontId="9" numFmtId="164" xfId="0" applyAlignment="1" applyFont="1" applyNumberFormat="1">
      <alignment horizontal="right" vertical="bottom"/>
    </xf>
    <xf borderId="0" fillId="0" fontId="9" numFmtId="164" xfId="0" applyAlignment="1" applyFont="1" applyNumberFormat="1">
      <alignment shrinkToFit="0" vertical="bottom" wrapText="0"/>
    </xf>
    <xf borderId="0" fillId="0" fontId="9" numFmtId="167" xfId="0" applyAlignment="1" applyFont="1" applyNumberFormat="1">
      <alignment horizontal="right" vertical="bottom"/>
    </xf>
    <xf borderId="0" fillId="0" fontId="9" numFmtId="166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0" fillId="0" fontId="12" numFmtId="0" xfId="0" applyFont="1"/>
    <xf borderId="0" fillId="0" fontId="9" numFmtId="9" xfId="0" applyAlignment="1" applyFont="1" applyNumberFormat="1">
      <alignment vertical="bottom"/>
    </xf>
    <xf borderId="0" fillId="0" fontId="9" numFmtId="10" xfId="0" applyAlignment="1" applyFont="1" applyNumberFormat="1">
      <alignment vertical="bottom"/>
    </xf>
    <xf borderId="0" fillId="0" fontId="4" numFmtId="164" xfId="0" applyFont="1" applyNumberFormat="1"/>
    <xf borderId="0" fillId="0" fontId="11" numFmtId="16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14" numFmtId="166" xfId="0" applyAlignment="1" applyFont="1" applyNumberFormat="1">
      <alignment horizontal="right" vertical="bottom"/>
    </xf>
    <xf borderId="0" fillId="0" fontId="9" numFmtId="4" xfId="0" applyAlignment="1" applyFont="1" applyNumberFormat="1">
      <alignment horizontal="right" vertical="bottom"/>
    </xf>
    <xf borderId="0" fillId="0" fontId="9" numFmtId="4" xfId="0" applyAlignment="1" applyFont="1" applyNumberForma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9" numFmtId="167" xfId="0" applyAlignment="1" applyFont="1" applyNumberFormat="1">
      <alignment vertical="bottom"/>
    </xf>
    <xf borderId="0" fillId="0" fontId="16" numFmtId="164" xfId="0" applyAlignment="1" applyFont="1" applyNumberFormat="1">
      <alignment horizontal="right" vertical="bottom"/>
    </xf>
    <xf borderId="0" fillId="0" fontId="9" numFmtId="1" xfId="0" applyAlignment="1" applyFont="1" applyNumberFormat="1">
      <alignment horizontal="right" vertical="bottom"/>
    </xf>
    <xf borderId="0" fillId="0" fontId="11" numFmtId="166" xfId="0" applyAlignment="1" applyFont="1" applyNumberFormat="1">
      <alignment horizontal="right" vertical="bottom"/>
    </xf>
    <xf borderId="0" fillId="0" fontId="17" numFmtId="167" xfId="0" applyAlignment="1" applyFont="1" applyNumberFormat="1">
      <alignment horizontal="right"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18" numFmtId="164" xfId="0" applyAlignment="1" applyFont="1" applyNumberFormat="1">
      <alignment horizontal="right" vertical="bottom"/>
    </xf>
    <xf borderId="0" fillId="0" fontId="9" numFmtId="168" xfId="0" applyAlignment="1" applyFont="1" applyNumberFormat="1">
      <alignment vertical="bottom"/>
    </xf>
    <xf borderId="0" fillId="0" fontId="18" numFmtId="166" xfId="0" applyAlignment="1" applyFont="1" applyNumberFormat="1">
      <alignment horizontal="right" vertical="bottom"/>
    </xf>
    <xf borderId="0" fillId="0" fontId="9" numFmtId="2" xfId="0" applyAlignment="1" applyFont="1" applyNumberFormat="1">
      <alignment horizontal="right" vertical="bottom"/>
    </xf>
    <xf borderId="0" fillId="0" fontId="9" numFmtId="2" xfId="0" applyAlignment="1" applyFont="1" applyNumberFormat="1">
      <alignment vertical="bottom"/>
    </xf>
    <xf borderId="0" fillId="0" fontId="9" numFmtId="3" xfId="0" applyAlignment="1" applyFont="1" applyNumberFormat="1">
      <alignment horizontal="right" vertical="bottom"/>
    </xf>
    <xf borderId="0" fillId="0" fontId="19" numFmtId="9" xfId="0" applyAlignment="1" applyFont="1" applyNumberFormat="1">
      <alignment horizontal="right" vertical="bottom"/>
    </xf>
    <xf borderId="0" fillId="0" fontId="9" numFmtId="0" xfId="0" applyAlignment="1" applyFont="1">
      <alignment horizontal="center" vertical="bottom"/>
    </xf>
    <xf borderId="0" fillId="0" fontId="9" numFmtId="9" xfId="0" applyAlignment="1" applyFont="1" applyNumberFormat="1">
      <alignment horizontal="center" vertical="bottom"/>
    </xf>
    <xf borderId="0" fillId="0" fontId="9" numFmtId="10" xfId="0" applyAlignment="1" applyFont="1" applyNumberFormat="1">
      <alignment horizontal="center" vertical="bottom"/>
    </xf>
    <xf borderId="0" fillId="0" fontId="9" numFmtId="165" xfId="0" applyAlignment="1" applyFont="1" applyNumberFormat="1">
      <alignment horizontal="center" vertical="bottom"/>
    </xf>
    <xf borderId="0" fillId="0" fontId="9" numFmtId="165" xfId="0" applyAlignment="1" applyFont="1" applyNumberFormat="1">
      <alignment vertical="bottom"/>
    </xf>
    <xf borderId="0" fillId="0" fontId="9" numFmtId="164" xfId="0" applyAlignment="1" applyFont="1" applyNumberFormat="1">
      <alignment horizontal="center" vertical="bottom"/>
    </xf>
    <xf borderId="0" fillId="0" fontId="9" numFmtId="11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0" fontId="20" numFmtId="0" xfId="0" applyAlignment="1" applyFont="1">
      <alignment shrinkToFit="0" vertical="bottom" wrapText="0"/>
    </xf>
    <xf borderId="0" fillId="0" fontId="4" numFmtId="9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11" numFmtId="0" xfId="0" applyAlignment="1" applyFont="1">
      <alignment shrinkToFit="0" vertical="bottom" wrapText="0"/>
    </xf>
    <xf borderId="0" fillId="0" fontId="10" numFmtId="166" xfId="0" applyAlignment="1" applyFont="1" applyNumberFormat="1">
      <alignment vertical="bottom"/>
    </xf>
    <xf borderId="0" fillId="0" fontId="11" numFmtId="164" xfId="0" applyAlignment="1" applyFont="1" applyNumberFormat="1">
      <alignment horizontal="center" vertical="bottom"/>
    </xf>
    <xf borderId="0" fillId="0" fontId="9" numFmtId="1" xfId="0" applyAlignment="1" applyFont="1" applyNumberFormat="1">
      <alignment horizontal="center" vertical="bottom"/>
    </xf>
    <xf borderId="0" fillId="0" fontId="9" numFmtId="2" xfId="0" applyAlignment="1" applyFont="1" applyNumberFormat="1">
      <alignment horizontal="center" vertical="bottom"/>
    </xf>
    <xf borderId="0" fillId="0" fontId="13" numFmtId="2" xfId="0" applyAlignment="1" applyFont="1" applyNumberFormat="1">
      <alignment horizontal="right" vertical="bottom"/>
    </xf>
    <xf borderId="0" fillId="0" fontId="13" numFmtId="168" xfId="0" applyAlignment="1" applyFont="1" applyNumberFormat="1">
      <alignment horizontal="right" vertical="bottom"/>
    </xf>
    <xf borderId="0" fillId="0" fontId="11" numFmtId="2" xfId="0" applyAlignment="1" applyFont="1" applyNumberFormat="1">
      <alignment horizontal="right" vertical="bottom"/>
    </xf>
    <xf borderId="0" fillId="0" fontId="11" numFmtId="0" xfId="0" applyAlignment="1" applyFont="1">
      <alignment horizontal="right" vertical="bottom"/>
    </xf>
    <xf borderId="0" fillId="0" fontId="13" numFmtId="2" xfId="0" applyAlignment="1" applyFont="1" applyNumberFormat="1">
      <alignment horizontal="center" vertical="bottom"/>
    </xf>
    <xf borderId="0" fillId="0" fontId="13" numFmtId="167" xfId="0" applyAlignment="1" applyFont="1" applyNumberFormat="1">
      <alignment horizontal="right" vertical="bottom"/>
    </xf>
    <xf borderId="0" fillId="0" fontId="4" numFmtId="1" xfId="0" applyFont="1" applyNumberFormat="1"/>
    <xf borderId="0" fillId="0" fontId="5" numFmtId="0" xfId="0" applyFont="1"/>
    <xf borderId="1" fillId="10" fontId="21" numFmtId="0" xfId="0" applyAlignment="1" applyBorder="1" applyFill="1" applyFont="1">
      <alignment textRotation="45"/>
    </xf>
    <xf borderId="0" fillId="0" fontId="5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0" fillId="0" fontId="5" numFmtId="169" xfId="0" applyAlignment="1" applyFont="1" applyNumberFormat="1">
      <alignment horizontal="center"/>
    </xf>
    <xf borderId="0" fillId="0" fontId="5" numFmtId="166" xfId="0" applyFont="1" applyNumberFormat="1"/>
    <xf borderId="0" fillId="0" fontId="5" numFmtId="1" xfId="0" applyFont="1" applyNumberFormat="1"/>
    <xf borderId="0" fillId="0" fontId="5" numFmtId="167" xfId="0" applyFont="1" applyNumberFormat="1"/>
    <xf borderId="0" fillId="0" fontId="5" numFmtId="2" xfId="0" applyFont="1" applyNumberFormat="1"/>
    <xf borderId="0" fillId="0" fontId="5" numFmtId="2" xfId="0" applyAlignment="1" applyFont="1" applyNumberFormat="1">
      <alignment shrinkToFit="0" wrapText="1"/>
    </xf>
    <xf borderId="0" fillId="0" fontId="5" numFmtId="2" xfId="0" applyAlignment="1" applyFont="1" applyNumberFormat="1">
      <alignment horizontal="right" shrinkToFit="0" wrapText="1"/>
    </xf>
    <xf borderId="0" fillId="0" fontId="5" numFmtId="168" xfId="0" applyFont="1" applyNumberFormat="1"/>
    <xf borderId="2" fillId="0" fontId="21" numFmtId="0" xfId="0" applyAlignment="1" applyBorder="1" applyFont="1">
      <alignment horizontal="left"/>
    </xf>
    <xf borderId="0" fillId="0" fontId="5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101</xdr:row>
      <xdr:rowOff>190500</xdr:rowOff>
    </xdr:from>
    <xdr:ext cx="4953000" cy="453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1.57"/>
    <col customWidth="1" min="4" max="5" width="12.0"/>
    <col customWidth="1" min="6" max="6" width="18.43"/>
    <col customWidth="1" min="7" max="7" width="14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/>
      <c r="C2" s="2"/>
      <c r="D2" s="3">
        <v>5241.0</v>
      </c>
      <c r="E2" s="3"/>
      <c r="F2" s="4" t="s">
        <v>12</v>
      </c>
      <c r="G2" s="3"/>
      <c r="H2" s="5" t="s">
        <v>11</v>
      </c>
      <c r="I2" s="3">
        <v>2616.0</v>
      </c>
      <c r="J2" s="3">
        <v>4251.0</v>
      </c>
      <c r="K2" s="3">
        <v>5500.0</v>
      </c>
    </row>
    <row r="3" ht="14.25" customHeight="1">
      <c r="A3" s="2" t="s">
        <v>13</v>
      </c>
      <c r="B3" s="2"/>
      <c r="C3" s="2"/>
      <c r="D3" s="3">
        <v>1500.0</v>
      </c>
      <c r="E3" s="3"/>
      <c r="F3" s="6" t="s">
        <v>14</v>
      </c>
      <c r="G3" s="2"/>
      <c r="H3" s="5" t="s">
        <v>15</v>
      </c>
      <c r="I3" s="3">
        <v>630.0</v>
      </c>
      <c r="J3" s="3">
        <v>900.0</v>
      </c>
      <c r="K3" s="3">
        <v>1170.0</v>
      </c>
    </row>
    <row r="4" ht="14.25" customHeight="1">
      <c r="A4" s="2" t="s">
        <v>16</v>
      </c>
      <c r="B4" s="2"/>
      <c r="C4" s="2"/>
      <c r="D4" s="3">
        <v>250.0</v>
      </c>
      <c r="E4" s="3"/>
      <c r="F4" s="6" t="s">
        <v>17</v>
      </c>
      <c r="G4" s="2"/>
      <c r="H4" s="5" t="s">
        <v>18</v>
      </c>
      <c r="I4" s="3">
        <v>99.0</v>
      </c>
      <c r="J4" s="3">
        <v>185.0</v>
      </c>
      <c r="K4" s="3">
        <v>225.0</v>
      </c>
    </row>
    <row r="5" ht="14.25" customHeight="1">
      <c r="A5" s="2" t="s">
        <v>19</v>
      </c>
      <c r="B5" s="2"/>
      <c r="C5" s="2"/>
      <c r="D5" s="3">
        <v>450.0</v>
      </c>
      <c r="E5" s="3"/>
      <c r="F5" s="4" t="s">
        <v>20</v>
      </c>
      <c r="G5" s="2"/>
      <c r="H5" s="5" t="s">
        <v>18</v>
      </c>
      <c r="I5" s="3">
        <v>221.0</v>
      </c>
      <c r="J5" s="3">
        <v>415.0</v>
      </c>
      <c r="K5" s="3">
        <v>505.0</v>
      </c>
    </row>
    <row r="6" ht="14.25" customHeight="1">
      <c r="A6" s="2" t="s">
        <v>21</v>
      </c>
      <c r="B6" s="2"/>
      <c r="C6" s="2"/>
      <c r="D6" s="3">
        <v>150.0</v>
      </c>
      <c r="E6" s="3">
        <v>20.0</v>
      </c>
      <c r="F6" s="6" t="s">
        <v>17</v>
      </c>
      <c r="G6" s="2"/>
      <c r="H6" s="5" t="s">
        <v>18</v>
      </c>
      <c r="I6" s="3">
        <v>80.0</v>
      </c>
      <c r="J6" s="3">
        <v>130.0</v>
      </c>
      <c r="K6" s="3">
        <v>150.0</v>
      </c>
    </row>
    <row r="7" ht="14.25" customHeight="1">
      <c r="A7" s="2" t="s">
        <v>22</v>
      </c>
      <c r="B7" s="2"/>
      <c r="C7" s="2"/>
      <c r="D7" s="3">
        <v>25.0</v>
      </c>
      <c r="E7" s="3"/>
      <c r="F7" s="6" t="s">
        <v>17</v>
      </c>
      <c r="G7" s="2"/>
      <c r="H7" s="5" t="s">
        <v>18</v>
      </c>
      <c r="I7" s="3">
        <v>40.0</v>
      </c>
      <c r="J7" s="3">
        <v>25.0</v>
      </c>
      <c r="K7" s="3">
        <v>20.0</v>
      </c>
    </row>
    <row r="8" ht="14.25" customHeight="1">
      <c r="A8" s="2" t="s">
        <v>23</v>
      </c>
      <c r="B8" s="2"/>
      <c r="C8" s="2" t="s">
        <v>24</v>
      </c>
      <c r="D8" s="3">
        <v>4.0</v>
      </c>
      <c r="E8" s="3"/>
      <c r="F8" s="6" t="s">
        <v>17</v>
      </c>
      <c r="G8" s="2"/>
      <c r="H8" s="5" t="s">
        <v>18</v>
      </c>
      <c r="I8" s="3">
        <v>3.0</v>
      </c>
      <c r="J8" s="3">
        <v>3.0</v>
      </c>
      <c r="K8" s="3">
        <v>3.0</v>
      </c>
    </row>
    <row r="9" ht="14.25" customHeight="1">
      <c r="A9" s="2" t="s">
        <v>25</v>
      </c>
      <c r="B9" s="2"/>
      <c r="C9" s="2"/>
      <c r="D9" s="3">
        <v>1800.0</v>
      </c>
      <c r="E9" s="3"/>
      <c r="F9" s="7" t="s">
        <v>26</v>
      </c>
      <c r="G9" s="2"/>
      <c r="H9" s="5" t="s">
        <v>25</v>
      </c>
      <c r="I9" s="3">
        <v>830.0</v>
      </c>
      <c r="J9" s="3">
        <v>1400.0</v>
      </c>
      <c r="K9" s="3">
        <v>1800.0</v>
      </c>
    </row>
    <row r="10" ht="14.25" customHeight="1">
      <c r="A10" s="2" t="s">
        <v>27</v>
      </c>
      <c r="B10" s="2"/>
      <c r="C10" s="2"/>
      <c r="D10" s="3">
        <v>40.0</v>
      </c>
      <c r="E10" s="3"/>
      <c r="F10" s="7" t="s">
        <v>26</v>
      </c>
      <c r="G10" s="3">
        <v>1.0</v>
      </c>
      <c r="H10" s="5" t="s">
        <v>28</v>
      </c>
      <c r="I10" s="3">
        <v>18.0</v>
      </c>
      <c r="J10" s="3">
        <v>35.0</v>
      </c>
      <c r="K10" s="3">
        <v>40.0</v>
      </c>
    </row>
    <row r="11" ht="14.25" customHeight="1">
      <c r="A11" s="2" t="s">
        <v>29</v>
      </c>
      <c r="B11" s="2" t="s">
        <v>30</v>
      </c>
      <c r="C11" s="2" t="s">
        <v>31</v>
      </c>
      <c r="D11" s="3">
        <v>50.0</v>
      </c>
      <c r="E11" s="3"/>
      <c r="F11" s="7" t="s">
        <v>26</v>
      </c>
      <c r="G11" s="3">
        <v>1.0</v>
      </c>
      <c r="H11" s="5" t="s">
        <v>28</v>
      </c>
      <c r="I11" s="3">
        <v>28.0</v>
      </c>
      <c r="J11" s="3">
        <v>47.0</v>
      </c>
      <c r="K11" s="3">
        <v>50.0</v>
      </c>
    </row>
    <row r="12" ht="14.25" customHeight="1">
      <c r="A12" s="2" t="s">
        <v>29</v>
      </c>
      <c r="B12" s="2" t="s">
        <v>32</v>
      </c>
      <c r="C12" s="2" t="s">
        <v>31</v>
      </c>
      <c r="D12" s="3">
        <v>50.0</v>
      </c>
      <c r="E12" s="3"/>
      <c r="F12" s="7" t="s">
        <v>26</v>
      </c>
      <c r="G12" s="3">
        <v>1.0</v>
      </c>
      <c r="H12" s="5" t="s">
        <v>28</v>
      </c>
      <c r="I12" s="3">
        <v>28.0</v>
      </c>
      <c r="J12" s="3">
        <v>47.0</v>
      </c>
      <c r="K12" s="3">
        <v>50.0</v>
      </c>
    </row>
    <row r="13" ht="14.25" customHeight="1">
      <c r="A13" s="2" t="s">
        <v>29</v>
      </c>
      <c r="B13" s="2" t="s">
        <v>33</v>
      </c>
      <c r="C13" s="2" t="s">
        <v>31</v>
      </c>
      <c r="D13" s="3">
        <v>50.0</v>
      </c>
      <c r="E13" s="3"/>
      <c r="F13" s="7" t="s">
        <v>26</v>
      </c>
      <c r="G13" s="3">
        <v>1.0</v>
      </c>
      <c r="H13" s="5" t="s">
        <v>28</v>
      </c>
      <c r="I13" s="3">
        <v>28.0</v>
      </c>
      <c r="J13" s="3">
        <v>47.0</v>
      </c>
      <c r="K13" s="3">
        <v>50.0</v>
      </c>
    </row>
    <row r="14" ht="14.25" customHeight="1">
      <c r="A14" s="2" t="s">
        <v>34</v>
      </c>
      <c r="B14" s="2" t="s">
        <v>30</v>
      </c>
      <c r="C14" s="2"/>
      <c r="D14" s="3">
        <v>165.0</v>
      </c>
      <c r="E14" s="3">
        <v>23.0</v>
      </c>
      <c r="F14" s="7" t="s">
        <v>26</v>
      </c>
      <c r="G14" s="3">
        <v>1.0</v>
      </c>
      <c r="H14" s="5" t="s">
        <v>28</v>
      </c>
      <c r="I14" s="3">
        <v>99.0</v>
      </c>
      <c r="J14" s="3">
        <v>161.0</v>
      </c>
      <c r="K14" s="3">
        <v>174.0</v>
      </c>
    </row>
    <row r="15" ht="14.25" customHeight="1">
      <c r="A15" s="2" t="s">
        <v>34</v>
      </c>
      <c r="B15" s="2" t="s">
        <v>32</v>
      </c>
      <c r="C15" s="2"/>
      <c r="D15" s="3">
        <v>134.0</v>
      </c>
      <c r="E15" s="3">
        <v>19.0</v>
      </c>
      <c r="F15" s="7" t="s">
        <v>26</v>
      </c>
      <c r="G15" s="3">
        <v>1.0</v>
      </c>
      <c r="H15" s="5" t="s">
        <v>28</v>
      </c>
      <c r="I15" s="3">
        <v>80.0</v>
      </c>
      <c r="J15" s="3">
        <v>131.0</v>
      </c>
      <c r="K15" s="3">
        <v>141.0</v>
      </c>
    </row>
    <row r="16" ht="14.25" customHeight="1">
      <c r="A16" s="2" t="s">
        <v>34</v>
      </c>
      <c r="B16" s="2" t="s">
        <v>33</v>
      </c>
      <c r="C16" s="2"/>
      <c r="D16" s="3">
        <v>317.0</v>
      </c>
      <c r="E16" s="3">
        <v>130.0</v>
      </c>
      <c r="F16" s="7" t="s">
        <v>26</v>
      </c>
      <c r="G16" s="3">
        <v>1.0</v>
      </c>
      <c r="H16" s="5" t="s">
        <v>28</v>
      </c>
      <c r="I16" s="3">
        <v>190.0</v>
      </c>
      <c r="J16" s="3">
        <v>309.0</v>
      </c>
      <c r="K16" s="3">
        <v>334.0</v>
      </c>
    </row>
    <row r="17" ht="14.25" customHeight="1">
      <c r="A17" s="2" t="s">
        <v>35</v>
      </c>
      <c r="B17" s="2" t="s">
        <v>30</v>
      </c>
      <c r="C17" s="2" t="s">
        <v>36</v>
      </c>
      <c r="D17" s="3">
        <v>75.0</v>
      </c>
      <c r="E17" s="3">
        <v>16.0</v>
      </c>
      <c r="F17" s="7" t="s">
        <v>26</v>
      </c>
      <c r="G17" s="3">
        <v>1.0</v>
      </c>
      <c r="H17" s="5" t="s">
        <v>28</v>
      </c>
      <c r="I17" s="3">
        <v>40.0</v>
      </c>
      <c r="J17" s="3">
        <v>68.0</v>
      </c>
      <c r="K17" s="3">
        <v>70.0</v>
      </c>
    </row>
    <row r="18" ht="14.25" customHeight="1">
      <c r="A18" s="2" t="s">
        <v>35</v>
      </c>
      <c r="B18" s="2" t="s">
        <v>32</v>
      </c>
      <c r="C18" s="2" t="s">
        <v>36</v>
      </c>
      <c r="D18" s="3">
        <v>60.0</v>
      </c>
      <c r="E18" s="3">
        <v>13.0</v>
      </c>
      <c r="F18" s="7" t="s">
        <v>26</v>
      </c>
      <c r="G18" s="3">
        <v>1.0</v>
      </c>
      <c r="H18" s="5" t="s">
        <v>28</v>
      </c>
      <c r="I18" s="3">
        <v>32.0</v>
      </c>
      <c r="J18" s="3">
        <v>55.0</v>
      </c>
      <c r="K18" s="3">
        <v>56.0</v>
      </c>
    </row>
    <row r="19" ht="14.25" customHeight="1">
      <c r="A19" s="2" t="s">
        <v>35</v>
      </c>
      <c r="B19" s="2" t="s">
        <v>33</v>
      </c>
      <c r="C19" s="2" t="s">
        <v>36</v>
      </c>
      <c r="D19" s="3">
        <v>260.0</v>
      </c>
      <c r="E19" s="3">
        <v>90.0</v>
      </c>
      <c r="F19" s="7" t="s">
        <v>26</v>
      </c>
      <c r="G19" s="3">
        <v>1.0</v>
      </c>
      <c r="H19" s="5" t="s">
        <v>28</v>
      </c>
      <c r="I19" s="3">
        <v>138.0</v>
      </c>
      <c r="J19" s="3">
        <v>237.0</v>
      </c>
      <c r="K19" s="3">
        <v>244.0</v>
      </c>
    </row>
    <row r="20" ht="14.25" customHeight="1">
      <c r="A20" s="2" t="s">
        <v>37</v>
      </c>
      <c r="B20" s="2" t="s">
        <v>38</v>
      </c>
      <c r="C20" s="2"/>
      <c r="D20" s="3">
        <v>540.0</v>
      </c>
      <c r="F20" s="7" t="s">
        <v>26</v>
      </c>
      <c r="G20" s="3">
        <v>1.0</v>
      </c>
      <c r="H20" s="2" t="s">
        <v>37</v>
      </c>
      <c r="I20" s="3">
        <v>197.0</v>
      </c>
      <c r="J20" s="3">
        <v>395.0</v>
      </c>
      <c r="K20" s="3">
        <v>470.0</v>
      </c>
    </row>
    <row r="21" ht="14.25" customHeight="1">
      <c r="A21" s="2" t="s">
        <v>37</v>
      </c>
      <c r="B21" s="2" t="s">
        <v>39</v>
      </c>
      <c r="C21" s="2" t="s">
        <v>40</v>
      </c>
      <c r="D21" s="3">
        <f>1000-D20-D29</f>
        <v>425</v>
      </c>
      <c r="E21" s="3"/>
      <c r="F21" s="7" t="s">
        <v>26</v>
      </c>
      <c r="G21" s="3">
        <v>1.0</v>
      </c>
      <c r="H21" s="2" t="s">
        <v>37</v>
      </c>
      <c r="I21" s="3">
        <v>290.0</v>
      </c>
      <c r="J21" s="3">
        <v>530.0</v>
      </c>
      <c r="K21" s="3">
        <v>700.0</v>
      </c>
    </row>
    <row r="22" ht="14.25" customHeight="1">
      <c r="A22" s="2" t="s">
        <v>41</v>
      </c>
      <c r="B22" s="5" t="s">
        <v>42</v>
      </c>
      <c r="C22" s="2">
        <v>2.0</v>
      </c>
      <c r="D22" s="3">
        <f>310*70%</f>
        <v>217</v>
      </c>
      <c r="E22" s="3"/>
      <c r="F22" s="7" t="s">
        <v>26</v>
      </c>
      <c r="G22" s="2"/>
      <c r="H22" s="5" t="s">
        <v>43</v>
      </c>
      <c r="I22" s="3">
        <v>133.0</v>
      </c>
      <c r="J22" s="3">
        <v>203.0</v>
      </c>
      <c r="K22" s="3">
        <v>228.0</v>
      </c>
    </row>
    <row r="23" ht="14.25" customHeight="1">
      <c r="A23" s="2" t="s">
        <v>41</v>
      </c>
      <c r="B23" s="5" t="s">
        <v>44</v>
      </c>
      <c r="C23" s="2"/>
      <c r="D23" s="3">
        <f>310*25%</f>
        <v>77.5</v>
      </c>
      <c r="E23" s="3"/>
      <c r="F23" s="7" t="s">
        <v>26</v>
      </c>
      <c r="G23" s="2"/>
      <c r="H23" s="5" t="s">
        <v>43</v>
      </c>
      <c r="I23" s="3">
        <v>47.0</v>
      </c>
      <c r="J23" s="3">
        <v>72.0</v>
      </c>
      <c r="K23" s="3">
        <v>82.0</v>
      </c>
    </row>
    <row r="24" ht="14.25" customHeight="1">
      <c r="A24" s="2" t="s">
        <v>45</v>
      </c>
      <c r="B24" s="2"/>
      <c r="C24" s="2"/>
      <c r="D24" s="3">
        <v>100.0</v>
      </c>
      <c r="E24" s="3"/>
      <c r="F24" s="7" t="s">
        <v>26</v>
      </c>
      <c r="G24" s="2"/>
      <c r="H24" s="5" t="s">
        <v>43</v>
      </c>
      <c r="I24" s="3">
        <v>60.0</v>
      </c>
      <c r="J24" s="3">
        <v>120.0</v>
      </c>
      <c r="K24" s="3">
        <v>140.0</v>
      </c>
    </row>
    <row r="25" ht="14.25" customHeight="1">
      <c r="A25" s="2" t="s">
        <v>46</v>
      </c>
      <c r="B25" s="2" t="s">
        <v>47</v>
      </c>
      <c r="C25" s="2"/>
      <c r="D25" s="3">
        <v>100.0</v>
      </c>
      <c r="E25" s="3"/>
      <c r="F25" s="7" t="s">
        <v>26</v>
      </c>
      <c r="G25" s="3">
        <v>1.0</v>
      </c>
      <c r="H25" s="2" t="s">
        <v>46</v>
      </c>
      <c r="I25" s="3">
        <v>56.0</v>
      </c>
      <c r="J25" s="3">
        <v>85.0</v>
      </c>
      <c r="K25" s="3">
        <v>120.0</v>
      </c>
    </row>
    <row r="26" ht="14.25" customHeight="1">
      <c r="A26" s="2" t="s">
        <v>46</v>
      </c>
      <c r="B26" s="2" t="s">
        <v>48</v>
      </c>
      <c r="C26" s="2"/>
      <c r="D26" s="3">
        <v>2500.0</v>
      </c>
      <c r="E26" s="3"/>
      <c r="F26" s="7" t="s">
        <v>26</v>
      </c>
      <c r="G26" s="3">
        <v>1.0</v>
      </c>
      <c r="H26" s="2" t="s">
        <v>46</v>
      </c>
      <c r="I26" s="3">
        <v>764.0</v>
      </c>
      <c r="J26" s="3">
        <v>2215.0</v>
      </c>
      <c r="K26" s="3">
        <v>3180.0</v>
      </c>
    </row>
    <row r="27" ht="14.25" customHeight="1">
      <c r="A27" s="2" t="s">
        <v>49</v>
      </c>
      <c r="C27" s="2" t="s">
        <v>50</v>
      </c>
      <c r="D27" s="3">
        <v>85.0</v>
      </c>
      <c r="E27" s="3"/>
      <c r="F27" s="7" t="s">
        <v>26</v>
      </c>
      <c r="G27" s="2"/>
      <c r="H27" s="5" t="s">
        <v>43</v>
      </c>
      <c r="I27" s="3">
        <v>44.0</v>
      </c>
      <c r="J27" s="3">
        <v>70.0</v>
      </c>
      <c r="K27" s="3">
        <v>85.0</v>
      </c>
    </row>
    <row r="28" ht="14.25" customHeight="1">
      <c r="A28" s="2" t="s">
        <v>51</v>
      </c>
      <c r="C28" s="2"/>
      <c r="D28" s="3">
        <v>45.0</v>
      </c>
      <c r="E28" s="3"/>
      <c r="F28" s="7" t="s">
        <v>26</v>
      </c>
      <c r="G28" s="2"/>
      <c r="H28" s="5" t="s">
        <v>43</v>
      </c>
      <c r="I28" s="3">
        <v>25.0</v>
      </c>
      <c r="J28" s="3">
        <v>40.0</v>
      </c>
      <c r="K28" s="3">
        <v>50.0</v>
      </c>
    </row>
    <row r="29" ht="14.25" customHeight="1">
      <c r="A29" s="2" t="s">
        <v>52</v>
      </c>
      <c r="C29" s="2">
        <v>2.0</v>
      </c>
      <c r="D29" s="3">
        <v>35.0</v>
      </c>
      <c r="E29" s="3"/>
      <c r="F29" s="7" t="s">
        <v>26</v>
      </c>
      <c r="G29" s="2"/>
      <c r="H29" s="5" t="s">
        <v>43</v>
      </c>
      <c r="I29" s="3">
        <v>2.0</v>
      </c>
      <c r="J29" s="3">
        <v>0.0</v>
      </c>
      <c r="K29" s="3">
        <v>35.0</v>
      </c>
    </row>
    <row r="30" ht="14.25" customHeight="1">
      <c r="A30" s="2" t="s">
        <v>53</v>
      </c>
      <c r="C30" s="2"/>
      <c r="D30" s="3">
        <v>30.0</v>
      </c>
      <c r="E30" s="3"/>
      <c r="F30" s="7" t="s">
        <v>26</v>
      </c>
      <c r="G30" s="3">
        <v>1.0</v>
      </c>
      <c r="H30" s="2" t="s">
        <v>37</v>
      </c>
      <c r="I30" s="3">
        <v>13.15</v>
      </c>
      <c r="J30" s="3">
        <v>24.66</v>
      </c>
      <c r="K30" s="3">
        <v>30.0</v>
      </c>
    </row>
    <row r="31" ht="14.25" customHeight="1">
      <c r="A31" s="2" t="s">
        <v>54</v>
      </c>
      <c r="C31" s="2"/>
      <c r="D31" s="3">
        <v>28.0</v>
      </c>
      <c r="E31" s="3"/>
      <c r="F31" s="7" t="s">
        <v>26</v>
      </c>
      <c r="G31" s="3">
        <v>1.0</v>
      </c>
      <c r="H31" s="2" t="s">
        <v>37</v>
      </c>
      <c r="I31" s="3">
        <v>12.0</v>
      </c>
      <c r="J31" s="3">
        <v>19.0</v>
      </c>
      <c r="K31" s="3">
        <v>28.0</v>
      </c>
    </row>
    <row r="32" ht="14.25" customHeight="1">
      <c r="A32" s="2" t="s">
        <v>55</v>
      </c>
      <c r="C32" s="2">
        <v>2.0</v>
      </c>
      <c r="D32" s="3">
        <v>26.0</v>
      </c>
      <c r="E32" s="3"/>
      <c r="F32" s="7" t="s">
        <v>26</v>
      </c>
      <c r="G32" s="2"/>
      <c r="H32" s="5" t="s">
        <v>43</v>
      </c>
      <c r="I32" s="3">
        <v>15.0</v>
      </c>
      <c r="J32" s="3">
        <v>500.0</v>
      </c>
      <c r="K32" s="3">
        <v>25.0</v>
      </c>
    </row>
    <row r="33" ht="14.25" customHeight="1">
      <c r="A33" s="2" t="s">
        <v>56</v>
      </c>
      <c r="C33" s="2"/>
      <c r="D33" s="3">
        <v>20.0</v>
      </c>
      <c r="E33" s="3"/>
      <c r="F33" s="7" t="s">
        <v>26</v>
      </c>
      <c r="G33" s="2"/>
      <c r="H33" s="5" t="s">
        <v>43</v>
      </c>
      <c r="I33" s="3">
        <v>7.9</v>
      </c>
      <c r="J33" s="3">
        <v>17.0</v>
      </c>
      <c r="K33" s="3">
        <v>20.0</v>
      </c>
    </row>
    <row r="34" ht="14.25" customHeight="1">
      <c r="A34" s="2" t="s">
        <v>57</v>
      </c>
      <c r="C34" s="2"/>
      <c r="D34" s="3">
        <v>16.0</v>
      </c>
      <c r="E34" s="3"/>
      <c r="F34" s="7" t="s">
        <v>26</v>
      </c>
      <c r="G34" s="2"/>
      <c r="H34" s="5" t="s">
        <v>43</v>
      </c>
      <c r="I34" s="3">
        <v>1.6</v>
      </c>
      <c r="J34" s="3">
        <v>0.0</v>
      </c>
      <c r="K34" s="3">
        <v>17.0</v>
      </c>
    </row>
    <row r="35" ht="14.25" customHeight="1">
      <c r="A35" s="2" t="s">
        <v>58</v>
      </c>
      <c r="C35" s="2">
        <v>2.0</v>
      </c>
      <c r="D35" s="3">
        <v>16.0</v>
      </c>
      <c r="E35" s="3"/>
      <c r="F35" s="7" t="s">
        <v>26</v>
      </c>
      <c r="G35" s="2"/>
      <c r="H35" s="5" t="s">
        <v>43</v>
      </c>
      <c r="I35" s="3">
        <v>7.0</v>
      </c>
      <c r="J35" s="3">
        <v>15.0</v>
      </c>
      <c r="K35" s="3">
        <v>16.0</v>
      </c>
    </row>
    <row r="36" ht="14.25" customHeight="1">
      <c r="A36" s="2" t="s">
        <v>59</v>
      </c>
      <c r="C36" s="2">
        <v>2.0</v>
      </c>
      <c r="D36" s="3">
        <v>14.0</v>
      </c>
      <c r="E36" s="3"/>
      <c r="F36" s="7" t="s">
        <v>26</v>
      </c>
      <c r="G36" s="2"/>
      <c r="H36" s="5" t="s">
        <v>43</v>
      </c>
      <c r="I36" s="3">
        <v>7.0</v>
      </c>
      <c r="J36" s="3">
        <v>13.0</v>
      </c>
      <c r="K36" s="3">
        <v>14.0</v>
      </c>
    </row>
    <row r="37" ht="14.25" customHeight="1">
      <c r="A37" s="2" t="s">
        <v>60</v>
      </c>
      <c r="C37" s="2"/>
      <c r="D37" s="3">
        <v>10.0</v>
      </c>
      <c r="E37" s="3"/>
      <c r="F37" s="7" t="s">
        <v>26</v>
      </c>
      <c r="G37" s="2"/>
      <c r="H37" s="5" t="s">
        <v>43</v>
      </c>
      <c r="I37" s="3">
        <v>4.4</v>
      </c>
      <c r="J37" s="3">
        <v>8.0</v>
      </c>
      <c r="K37" s="3">
        <v>10.0</v>
      </c>
    </row>
    <row r="38" ht="14.25" customHeight="1">
      <c r="A38" s="2" t="s">
        <v>61</v>
      </c>
      <c r="C38" s="2"/>
      <c r="D38" s="3">
        <v>10.0</v>
      </c>
      <c r="E38" s="3"/>
      <c r="F38" s="7" t="s">
        <v>26</v>
      </c>
      <c r="G38" s="3">
        <v>1.0</v>
      </c>
      <c r="H38" s="2" t="s">
        <v>37</v>
      </c>
      <c r="I38" s="3">
        <v>4.5</v>
      </c>
      <c r="J38" s="3">
        <v>8.0</v>
      </c>
      <c r="K38" s="3">
        <v>10.0</v>
      </c>
    </row>
    <row r="39" ht="14.25" customHeight="1">
      <c r="A39" s="2" t="s">
        <v>62</v>
      </c>
      <c r="C39" s="2"/>
      <c r="D39" s="3">
        <v>10.0</v>
      </c>
      <c r="E39" s="3"/>
      <c r="F39" s="7" t="s">
        <v>26</v>
      </c>
      <c r="G39" s="2"/>
      <c r="H39" s="5" t="s">
        <v>43</v>
      </c>
      <c r="I39" s="3">
        <v>3.0</v>
      </c>
      <c r="J39" s="3">
        <v>3.0</v>
      </c>
      <c r="K39" s="3">
        <v>10.0</v>
      </c>
    </row>
    <row r="40" ht="14.25" customHeight="1">
      <c r="A40" s="2" t="s">
        <v>63</v>
      </c>
      <c r="C40" s="2"/>
      <c r="D40" s="3">
        <v>0.6</v>
      </c>
      <c r="E40" s="3"/>
      <c r="F40" s="7" t="s">
        <v>26</v>
      </c>
      <c r="G40" s="2"/>
      <c r="H40" s="5" t="s">
        <v>43</v>
      </c>
      <c r="I40" s="3">
        <v>0.35</v>
      </c>
      <c r="J40" s="3">
        <v>0.6</v>
      </c>
      <c r="K40" s="3">
        <v>0.6</v>
      </c>
    </row>
    <row r="41" ht="14.25" customHeight="1">
      <c r="A41" s="2" t="s">
        <v>64</v>
      </c>
      <c r="C41" s="2"/>
      <c r="D41" s="3">
        <v>0.18</v>
      </c>
      <c r="E41" s="3"/>
      <c r="F41" s="7" t="s">
        <v>26</v>
      </c>
      <c r="G41" s="2"/>
      <c r="H41" s="5" t="s">
        <v>43</v>
      </c>
      <c r="I41" s="3">
        <v>0.08</v>
      </c>
      <c r="J41" s="3">
        <v>0.15</v>
      </c>
      <c r="K41" s="3">
        <v>0.18</v>
      </c>
    </row>
    <row r="42" ht="14.25" customHeight="1">
      <c r="A42" s="2" t="s">
        <v>65</v>
      </c>
      <c r="C42" s="2">
        <v>4.0</v>
      </c>
      <c r="D42" s="3">
        <v>0.12</v>
      </c>
      <c r="E42" s="3"/>
      <c r="F42" s="7" t="s">
        <v>26</v>
      </c>
      <c r="G42" s="2"/>
      <c r="H42" s="5" t="s">
        <v>43</v>
      </c>
      <c r="I42" s="3">
        <v>0.08</v>
      </c>
      <c r="J42" s="3">
        <v>0.15</v>
      </c>
      <c r="K42" s="3">
        <v>0.18</v>
      </c>
    </row>
    <row r="43" ht="14.25" customHeight="1">
      <c r="A43" s="2" t="s">
        <v>66</v>
      </c>
      <c r="C43" s="2" t="s">
        <v>67</v>
      </c>
      <c r="D43" s="3">
        <v>1600.0</v>
      </c>
      <c r="E43" s="3"/>
      <c r="F43" s="8" t="s">
        <v>20</v>
      </c>
      <c r="G43" s="2"/>
      <c r="H43" s="5" t="s">
        <v>43</v>
      </c>
      <c r="I43" s="3">
        <v>701.37</v>
      </c>
      <c r="J43" s="3">
        <v>1315.07</v>
      </c>
      <c r="K43" s="3">
        <v>1600.0</v>
      </c>
    </row>
    <row r="44" ht="14.25" customHeight="1">
      <c r="A44" s="2" t="s">
        <v>68</v>
      </c>
      <c r="C44" s="2" t="s">
        <v>69</v>
      </c>
      <c r="D44" s="3">
        <v>900.0</v>
      </c>
      <c r="E44" s="3"/>
      <c r="F44" s="8" t="s">
        <v>20</v>
      </c>
      <c r="G44" s="2"/>
      <c r="H44" s="5" t="s">
        <v>43</v>
      </c>
      <c r="I44" s="3">
        <v>394.52</v>
      </c>
      <c r="J44" s="3">
        <v>739.73</v>
      </c>
      <c r="K44" s="3">
        <v>900.0</v>
      </c>
    </row>
    <row r="45" ht="14.25" customHeight="1">
      <c r="A45" s="2" t="s">
        <v>70</v>
      </c>
      <c r="C45" s="2" t="s">
        <v>71</v>
      </c>
      <c r="D45" s="3">
        <v>1100.0</v>
      </c>
      <c r="E45" s="3"/>
      <c r="F45" s="8" t="s">
        <v>20</v>
      </c>
      <c r="G45" s="2"/>
      <c r="H45" s="5" t="s">
        <v>43</v>
      </c>
      <c r="I45" s="3">
        <v>820.0</v>
      </c>
      <c r="J45" s="3">
        <v>900.0</v>
      </c>
      <c r="K45" s="3">
        <v>1100.0</v>
      </c>
    </row>
    <row r="46" ht="14.25" customHeight="1">
      <c r="A46" s="2" t="s">
        <v>72</v>
      </c>
      <c r="C46" s="2"/>
      <c r="D46" s="3">
        <v>28000.0</v>
      </c>
      <c r="E46" s="3"/>
      <c r="F46" s="9" t="s">
        <v>73</v>
      </c>
      <c r="G46" s="2"/>
      <c r="H46" s="5" t="s">
        <v>43</v>
      </c>
      <c r="I46" s="3">
        <v>11000.0</v>
      </c>
      <c r="J46" s="3">
        <v>17500.0</v>
      </c>
      <c r="K46" s="3">
        <v>28500.0</v>
      </c>
    </row>
    <row r="47" ht="14.25" customHeight="1">
      <c r="A47" s="2" t="s">
        <v>74</v>
      </c>
      <c r="C47" s="2" t="s">
        <v>75</v>
      </c>
      <c r="D47" s="3">
        <v>330.0</v>
      </c>
      <c r="E47" s="3"/>
      <c r="F47" s="9" t="s">
        <v>73</v>
      </c>
      <c r="G47" s="2"/>
      <c r="H47" s="5" t="s">
        <v>43</v>
      </c>
      <c r="I47" s="3">
        <v>140.0</v>
      </c>
      <c r="J47" s="3">
        <v>250.0</v>
      </c>
      <c r="K47" s="3">
        <v>330.0</v>
      </c>
    </row>
    <row r="48" ht="14.25" customHeight="1">
      <c r="A48" s="2" t="s">
        <v>76</v>
      </c>
      <c r="C48" s="2"/>
      <c r="D48" s="3">
        <v>70.0</v>
      </c>
      <c r="E48" s="3"/>
      <c r="F48" s="9" t="s">
        <v>73</v>
      </c>
      <c r="G48" s="2"/>
      <c r="H48" s="5" t="s">
        <v>43</v>
      </c>
      <c r="I48" s="3">
        <v>32.0</v>
      </c>
      <c r="J48" s="3">
        <v>60.0</v>
      </c>
      <c r="K48" s="3">
        <v>73.0</v>
      </c>
    </row>
    <row r="49" ht="14.25" customHeight="1">
      <c r="A49" s="2" t="s">
        <v>77</v>
      </c>
      <c r="C49" s="2"/>
      <c r="D49" s="3">
        <v>15000.0</v>
      </c>
      <c r="E49" s="3"/>
      <c r="F49" s="10" t="s">
        <v>78</v>
      </c>
      <c r="G49" s="2"/>
      <c r="H49" s="5" t="s">
        <v>43</v>
      </c>
      <c r="I49" s="3">
        <v>7500.0</v>
      </c>
      <c r="J49" s="3">
        <v>19000.0</v>
      </c>
      <c r="K49" s="3">
        <v>14500.0</v>
      </c>
    </row>
    <row r="50" ht="14.25" customHeight="1">
      <c r="A50" s="2" t="s">
        <v>79</v>
      </c>
      <c r="C50" s="2"/>
      <c r="D50" s="3">
        <v>1400.0</v>
      </c>
      <c r="E50" s="3"/>
      <c r="F50" s="11" t="s">
        <v>80</v>
      </c>
      <c r="G50" s="2"/>
      <c r="H50" s="5" t="s">
        <v>43</v>
      </c>
      <c r="I50" s="3">
        <v>1300.0</v>
      </c>
      <c r="J50" s="3">
        <v>1300.0</v>
      </c>
      <c r="K50" s="3">
        <v>1450.0</v>
      </c>
    </row>
    <row r="51" ht="14.25" customHeight="1">
      <c r="A51" s="2" t="s">
        <v>81</v>
      </c>
      <c r="C51" s="2"/>
      <c r="D51" s="3">
        <v>30.0</v>
      </c>
      <c r="E51" s="3"/>
      <c r="F51" s="11" t="s">
        <v>80</v>
      </c>
      <c r="G51" s="2"/>
      <c r="H51" s="5" t="s">
        <v>43</v>
      </c>
      <c r="I51" s="3">
        <v>13.0</v>
      </c>
      <c r="J51" s="3">
        <v>25.0</v>
      </c>
      <c r="K51" s="3">
        <v>30.0</v>
      </c>
    </row>
    <row r="52" ht="14.25" customHeight="1">
      <c r="A52" s="2" t="s">
        <v>82</v>
      </c>
      <c r="C52" s="2">
        <v>2.0</v>
      </c>
      <c r="D52" s="3">
        <v>15.0</v>
      </c>
      <c r="E52" s="3"/>
      <c r="F52" s="11" t="s">
        <v>80</v>
      </c>
      <c r="G52" s="2"/>
      <c r="H52" s="5" t="s">
        <v>43</v>
      </c>
      <c r="I52" s="3">
        <v>12.0</v>
      </c>
      <c r="J52" s="3">
        <v>15.0</v>
      </c>
      <c r="K52" s="3">
        <v>15.0</v>
      </c>
    </row>
    <row r="53" ht="14.25" customHeight="1">
      <c r="A53" s="2" t="s">
        <v>83</v>
      </c>
      <c r="B53" s="2"/>
      <c r="C53" s="2"/>
      <c r="D53" s="2"/>
      <c r="E53" s="2"/>
      <c r="F53" s="7" t="s">
        <v>26</v>
      </c>
      <c r="G53" s="2"/>
      <c r="H53" s="12" t="s">
        <v>43</v>
      </c>
      <c r="I53" s="3">
        <v>1.6</v>
      </c>
      <c r="J53" s="3">
        <v>0.0</v>
      </c>
      <c r="K53" s="3">
        <v>17.0</v>
      </c>
    </row>
    <row r="54" ht="14.25" customHeight="1">
      <c r="A54" s="2" t="s">
        <v>84</v>
      </c>
      <c r="B54" s="2"/>
      <c r="C54" s="3">
        <v>2.0</v>
      </c>
      <c r="D54" s="2"/>
      <c r="E54" s="2"/>
      <c r="F54" s="7" t="s">
        <v>26</v>
      </c>
      <c r="G54" s="2"/>
      <c r="H54" s="12" t="s">
        <v>43</v>
      </c>
      <c r="I54" s="3">
        <v>0.0</v>
      </c>
      <c r="J54" s="3">
        <v>11.0</v>
      </c>
      <c r="K54" s="3">
        <v>0.0</v>
      </c>
    </row>
    <row r="55" ht="14.25" customHeight="1">
      <c r="A55" s="2" t="s">
        <v>85</v>
      </c>
      <c r="B55" s="2"/>
      <c r="C55" s="3">
        <v>2.0</v>
      </c>
      <c r="D55" s="2"/>
      <c r="E55" s="2"/>
      <c r="F55" s="7" t="s">
        <v>26</v>
      </c>
      <c r="G55" s="2"/>
      <c r="H55" s="12" t="s">
        <v>43</v>
      </c>
      <c r="I55" s="3">
        <v>0.0</v>
      </c>
      <c r="J55" s="3">
        <v>2.1</v>
      </c>
      <c r="K55" s="3">
        <v>0.0</v>
      </c>
    </row>
    <row r="56" ht="14.25" customHeight="1">
      <c r="A56" s="2" t="s">
        <v>86</v>
      </c>
      <c r="B56" s="2"/>
      <c r="C56" s="2"/>
      <c r="D56" s="2"/>
      <c r="E56" s="2"/>
      <c r="F56" s="7" t="s">
        <v>26</v>
      </c>
      <c r="G56" s="2"/>
      <c r="H56" s="12" t="s">
        <v>43</v>
      </c>
      <c r="I56" s="3">
        <v>0.0</v>
      </c>
      <c r="J56" s="3">
        <v>80.0</v>
      </c>
      <c r="K56" s="3">
        <v>0.0</v>
      </c>
    </row>
    <row r="57" ht="14.25" customHeight="1">
      <c r="A57" s="2" t="s">
        <v>87</v>
      </c>
      <c r="B57" s="2"/>
      <c r="C57" s="2" t="s">
        <v>88</v>
      </c>
      <c r="D57" s="2"/>
      <c r="E57" s="2"/>
      <c r="F57" s="10" t="s">
        <v>78</v>
      </c>
      <c r="G57" s="2"/>
      <c r="H57" s="12" t="s">
        <v>43</v>
      </c>
      <c r="I57" s="3">
        <v>630.0</v>
      </c>
      <c r="J57" s="3">
        <v>1800.0</v>
      </c>
      <c r="K57" s="3">
        <v>2480.0</v>
      </c>
    </row>
    <row r="58" ht="14.25" customHeight="1">
      <c r="A58" s="2" t="s">
        <v>89</v>
      </c>
      <c r="B58" s="2"/>
      <c r="C58" s="2"/>
      <c r="D58" s="3">
        <v>5000.0</v>
      </c>
      <c r="E58" s="2"/>
      <c r="F58" s="13" t="s">
        <v>90</v>
      </c>
      <c r="G58" s="2"/>
      <c r="H58" s="2"/>
      <c r="I58" s="3">
        <v>2300.0</v>
      </c>
      <c r="J58" s="3">
        <v>4000.0</v>
      </c>
      <c r="K58" s="3">
        <v>5500.0</v>
      </c>
    </row>
    <row r="59" ht="14.25" customHeight="1">
      <c r="A59" s="2" t="s">
        <v>91</v>
      </c>
      <c r="B59" s="2"/>
      <c r="C59" s="2" t="s">
        <v>92</v>
      </c>
      <c r="D59" s="3">
        <v>1000.0</v>
      </c>
      <c r="E59" s="2"/>
      <c r="F59" s="13" t="s">
        <v>93</v>
      </c>
      <c r="G59" s="2"/>
      <c r="H59" s="2"/>
      <c r="I59" s="3">
        <v>420.0</v>
      </c>
      <c r="J59" s="3">
        <v>830.0</v>
      </c>
      <c r="K59" s="3">
        <v>900.0</v>
      </c>
    </row>
    <row r="60" ht="14.25" customHeight="1">
      <c r="A60" s="2" t="s">
        <v>94</v>
      </c>
      <c r="B60" s="2"/>
      <c r="C60" s="2"/>
      <c r="D60" s="3">
        <v>46.0</v>
      </c>
      <c r="E60" s="2"/>
      <c r="F60" s="13" t="s">
        <v>90</v>
      </c>
      <c r="G60" s="2"/>
      <c r="H60" s="2"/>
      <c r="I60" s="3">
        <v>30.0</v>
      </c>
      <c r="J60" s="3">
        <v>130.0</v>
      </c>
      <c r="K60" s="3">
        <v>150.0</v>
      </c>
    </row>
    <row r="61" ht="14.25" customHeight="1">
      <c r="A61" s="14" t="s">
        <v>95</v>
      </c>
      <c r="B61" s="2"/>
      <c r="C61" s="2"/>
      <c r="D61" s="3">
        <v>100.0</v>
      </c>
      <c r="E61" s="2"/>
      <c r="F61" s="13" t="s">
        <v>93</v>
      </c>
      <c r="G61" s="2"/>
      <c r="H61" s="2"/>
      <c r="I61" s="3">
        <v>44.0</v>
      </c>
      <c r="J61" s="3">
        <v>82.0</v>
      </c>
      <c r="K61" s="3">
        <v>100.0</v>
      </c>
    </row>
    <row r="62" ht="14.25" customHeight="1">
      <c r="A62" s="14" t="s">
        <v>96</v>
      </c>
      <c r="B62" s="2"/>
      <c r="C62" s="2"/>
      <c r="D62" s="3">
        <v>120.0</v>
      </c>
      <c r="E62" s="2"/>
      <c r="F62" s="13" t="s">
        <v>93</v>
      </c>
      <c r="G62" s="2"/>
      <c r="H62" s="2"/>
      <c r="I62" s="3">
        <v>53.0</v>
      </c>
      <c r="J62" s="3">
        <v>99.0</v>
      </c>
      <c r="K62" s="3">
        <v>120.0</v>
      </c>
    </row>
    <row r="63" ht="14.25" customHeight="1">
      <c r="A63" s="2" t="s">
        <v>97</v>
      </c>
      <c r="B63" s="2"/>
      <c r="C63" s="2"/>
      <c r="D63" s="3">
        <v>20.0</v>
      </c>
      <c r="E63" s="2"/>
      <c r="F63" s="13" t="s">
        <v>90</v>
      </c>
      <c r="G63" s="2"/>
      <c r="H63" s="2"/>
      <c r="I63" s="3">
        <v>9.0</v>
      </c>
      <c r="J63" s="3">
        <v>16.0</v>
      </c>
      <c r="K63" s="3">
        <v>20.0</v>
      </c>
    </row>
    <row r="64" ht="14.25" customHeight="1">
      <c r="A64" s="14" t="s">
        <v>98</v>
      </c>
      <c r="B64" s="2"/>
      <c r="C64" s="2" t="s">
        <v>99</v>
      </c>
      <c r="D64" s="3">
        <v>62.0</v>
      </c>
      <c r="E64" s="2"/>
      <c r="F64" s="13" t="s">
        <v>93</v>
      </c>
      <c r="G64" s="2"/>
      <c r="H64" s="2"/>
      <c r="I64" s="3">
        <v>27.0</v>
      </c>
      <c r="J64" s="3">
        <v>51.0</v>
      </c>
      <c r="K64" s="3">
        <v>62.0</v>
      </c>
    </row>
    <row r="65" ht="14.25" customHeight="1">
      <c r="A65" s="14" t="s">
        <v>100</v>
      </c>
      <c r="B65" s="2"/>
      <c r="C65" s="2"/>
      <c r="D65" s="3">
        <v>3.0</v>
      </c>
      <c r="E65" s="2"/>
      <c r="F65" s="13" t="s">
        <v>90</v>
      </c>
      <c r="G65" s="2"/>
      <c r="H65" s="2"/>
      <c r="I65" s="3">
        <v>1.32</v>
      </c>
      <c r="J65" s="3">
        <v>2.47</v>
      </c>
      <c r="K65" s="3">
        <v>3.0</v>
      </c>
    </row>
    <row r="66" ht="14.25" customHeight="1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3"/>
      <c r="J67" s="3"/>
      <c r="K67" s="3"/>
    </row>
    <row r="68" ht="14.25" customHeight="1"/>
    <row r="69" ht="14.25" customHeight="1">
      <c r="A69" s="2"/>
      <c r="C69" s="2"/>
      <c r="D69" s="3"/>
      <c r="E69" s="3"/>
      <c r="F69" s="15"/>
    </row>
    <row r="70" ht="14.25" customHeight="1">
      <c r="A70" s="2"/>
      <c r="C70" s="2"/>
      <c r="D70" s="3"/>
      <c r="E70" s="3"/>
      <c r="F70" s="15"/>
    </row>
    <row r="71" ht="14.25" customHeight="1">
      <c r="A71" s="2"/>
      <c r="C71" s="2"/>
      <c r="D71" s="3"/>
      <c r="E71" s="3"/>
      <c r="F71" s="15"/>
    </row>
    <row r="72" ht="14.25" customHeight="1">
      <c r="A72" s="2"/>
      <c r="C72" s="2"/>
      <c r="D72" s="3"/>
      <c r="E72" s="3"/>
      <c r="F72" s="15"/>
    </row>
    <row r="73" ht="14.25" customHeight="1">
      <c r="A73" s="2"/>
      <c r="C73" s="2"/>
      <c r="D73" s="3"/>
      <c r="E73" s="3"/>
      <c r="F73" s="15"/>
    </row>
    <row r="74" ht="14.25" customHeight="1">
      <c r="A74" s="2"/>
      <c r="C74" s="2"/>
      <c r="D74" s="3"/>
      <c r="E74" s="3"/>
      <c r="F74" s="15"/>
    </row>
    <row r="75" ht="14.25" customHeight="1">
      <c r="A75" s="2"/>
      <c r="C75" s="2"/>
      <c r="D75" s="3"/>
      <c r="E75" s="3"/>
      <c r="F75" s="15"/>
    </row>
    <row r="76" ht="14.25" customHeight="1">
      <c r="A76" s="2"/>
      <c r="C76" s="2"/>
      <c r="D76" s="3"/>
      <c r="E76" s="3"/>
      <c r="F76" s="15"/>
    </row>
    <row r="77" ht="14.25" customHeight="1">
      <c r="A77" s="2"/>
      <c r="C77" s="2"/>
      <c r="D77" s="3"/>
      <c r="E77" s="3"/>
      <c r="F77" s="2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  <col customWidth="1" min="17" max="17" width="11.71"/>
    <col customWidth="1" min="18" max="26" width="8.71"/>
  </cols>
  <sheetData>
    <row r="1" ht="14.25" customHeight="1">
      <c r="A1" s="5" t="s">
        <v>101</v>
      </c>
      <c r="B1" s="5" t="s">
        <v>102</v>
      </c>
      <c r="C1" s="5" t="s">
        <v>0</v>
      </c>
      <c r="D1" s="5" t="s">
        <v>1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  <c r="Q1" s="5" t="s">
        <v>115</v>
      </c>
      <c r="R1" s="5" t="s">
        <v>116</v>
      </c>
      <c r="S1" s="5" t="s">
        <v>117</v>
      </c>
      <c r="T1" s="5" t="s">
        <v>118</v>
      </c>
      <c r="U1" s="5" t="s">
        <v>119</v>
      </c>
      <c r="V1" s="5" t="s">
        <v>120</v>
      </c>
      <c r="W1" s="5" t="s">
        <v>121</v>
      </c>
      <c r="X1" s="5" t="s">
        <v>122</v>
      </c>
      <c r="Y1" s="5" t="s">
        <v>2</v>
      </c>
    </row>
    <row r="2" ht="14.25" customHeight="1">
      <c r="A2" s="5" t="s">
        <v>123</v>
      </c>
      <c r="B2" s="5" t="s">
        <v>124</v>
      </c>
      <c r="C2" s="5" t="s">
        <v>25</v>
      </c>
      <c r="F2" s="5" t="s">
        <v>125</v>
      </c>
      <c r="G2" s="5" t="s">
        <v>126</v>
      </c>
      <c r="H2" s="5" t="s">
        <v>127</v>
      </c>
      <c r="W2" s="16">
        <v>2.0E7</v>
      </c>
      <c r="X2" s="16">
        <v>500000.0</v>
      </c>
      <c r="Y2" s="5" t="s">
        <v>128</v>
      </c>
    </row>
    <row r="3" ht="14.25" customHeight="1">
      <c r="A3" s="5" t="s">
        <v>129</v>
      </c>
      <c r="B3" s="5" t="s">
        <v>130</v>
      </c>
      <c r="C3" s="5" t="s">
        <v>37</v>
      </c>
      <c r="D3" s="5" t="s">
        <v>38</v>
      </c>
      <c r="F3" s="5" t="s">
        <v>125</v>
      </c>
      <c r="G3" s="5" t="s">
        <v>126</v>
      </c>
      <c r="H3" s="5" t="s">
        <v>127</v>
      </c>
      <c r="S3" s="16">
        <v>1.2E10</v>
      </c>
      <c r="T3" s="16">
        <v>4.0E9</v>
      </c>
      <c r="U3" s="5">
        <v>500.0</v>
      </c>
      <c r="V3" s="5">
        <v>100.0</v>
      </c>
      <c r="W3" s="16">
        <v>2.4E7</v>
      </c>
      <c r="X3" s="16">
        <v>9000000.0</v>
      </c>
      <c r="Y3" s="5" t="s">
        <v>131</v>
      </c>
    </row>
    <row r="4" ht="14.25" customHeight="1">
      <c r="A4" s="5" t="s">
        <v>132</v>
      </c>
      <c r="B4" s="5" t="s">
        <v>130</v>
      </c>
      <c r="C4" s="5" t="s">
        <v>37</v>
      </c>
      <c r="D4" s="5" t="s">
        <v>38</v>
      </c>
      <c r="F4" s="5" t="s">
        <v>125</v>
      </c>
      <c r="G4" s="5" t="s">
        <v>133</v>
      </c>
      <c r="H4" s="5" t="s">
        <v>127</v>
      </c>
      <c r="S4" s="16">
        <v>4.6E10</v>
      </c>
      <c r="T4" s="16">
        <v>1.0E10</v>
      </c>
      <c r="U4" s="5">
        <v>500.0</v>
      </c>
      <c r="V4" s="5">
        <v>100.0</v>
      </c>
      <c r="W4" s="16">
        <v>9.2E7</v>
      </c>
      <c r="X4" s="16">
        <v>3.4E7</v>
      </c>
    </row>
    <row r="5" ht="14.25" customHeight="1">
      <c r="A5" s="5" t="s">
        <v>134</v>
      </c>
      <c r="B5" s="5" t="s">
        <v>135</v>
      </c>
      <c r="C5" s="5" t="s">
        <v>13</v>
      </c>
      <c r="F5" s="5" t="s">
        <v>125</v>
      </c>
      <c r="G5" s="5" t="s">
        <v>133</v>
      </c>
      <c r="H5" s="5" t="s">
        <v>127</v>
      </c>
      <c r="M5" s="17">
        <v>0.083</v>
      </c>
      <c r="N5" s="17">
        <v>0.017</v>
      </c>
      <c r="O5" s="16">
        <v>1.0E12</v>
      </c>
      <c r="P5" s="16">
        <v>4.0E11</v>
      </c>
      <c r="S5" s="16">
        <v>8.0E10</v>
      </c>
      <c r="T5" s="16">
        <v>3.0E10</v>
      </c>
      <c r="U5" s="5">
        <v>1170.0</v>
      </c>
      <c r="V5" s="2"/>
      <c r="W5" s="16">
        <v>7.0E7</v>
      </c>
      <c r="X5" s="16">
        <v>3.0E7</v>
      </c>
      <c r="Y5" s="5" t="s">
        <v>136</v>
      </c>
    </row>
    <row r="6" ht="14.25" customHeight="1">
      <c r="A6" s="5" t="s">
        <v>137</v>
      </c>
      <c r="B6" s="5" t="s">
        <v>135</v>
      </c>
      <c r="C6" s="5" t="s">
        <v>13</v>
      </c>
      <c r="E6" s="5" t="s">
        <v>138</v>
      </c>
      <c r="F6" s="5" t="s">
        <v>125</v>
      </c>
      <c r="G6" s="5" t="s">
        <v>133</v>
      </c>
      <c r="H6" s="5" t="s">
        <v>127</v>
      </c>
      <c r="M6" s="17">
        <v>0.067</v>
      </c>
      <c r="N6" s="17">
        <v>0.03</v>
      </c>
      <c r="O6" s="16">
        <v>6.0E11</v>
      </c>
      <c r="S6" s="16">
        <v>4.0E10</v>
      </c>
      <c r="T6" s="16">
        <v>2.0E10</v>
      </c>
      <c r="U6" s="5">
        <v>1170.0</v>
      </c>
      <c r="V6" s="2"/>
      <c r="W6" s="16">
        <v>3.0E7</v>
      </c>
      <c r="X6" s="16">
        <v>1.0E7</v>
      </c>
      <c r="Y6" s="5" t="s">
        <v>139</v>
      </c>
    </row>
    <row r="7" ht="14.25" customHeight="1">
      <c r="A7" s="5" t="s">
        <v>140</v>
      </c>
      <c r="B7" s="5" t="s">
        <v>141</v>
      </c>
      <c r="C7" s="5" t="s">
        <v>79</v>
      </c>
      <c r="F7" s="5" t="s">
        <v>125</v>
      </c>
      <c r="G7" s="5" t="s">
        <v>133</v>
      </c>
      <c r="H7" s="5" t="s">
        <v>142</v>
      </c>
      <c r="W7" s="16">
        <v>8000000.0</v>
      </c>
      <c r="X7" s="16">
        <v>600000.0</v>
      </c>
      <c r="Y7" s="5" t="s">
        <v>143</v>
      </c>
    </row>
    <row r="8" ht="14.25" customHeight="1">
      <c r="A8" s="5" t="s">
        <v>144</v>
      </c>
      <c r="B8" s="5" t="s">
        <v>141</v>
      </c>
      <c r="C8" s="5" t="s">
        <v>79</v>
      </c>
      <c r="F8" s="5" t="s">
        <v>125</v>
      </c>
      <c r="G8" s="5" t="s">
        <v>145</v>
      </c>
      <c r="H8" s="5" t="s">
        <v>127</v>
      </c>
      <c r="M8" s="18">
        <v>0.06</v>
      </c>
      <c r="N8" s="17">
        <v>0.01</v>
      </c>
      <c r="O8" s="16">
        <v>9.0E10</v>
      </c>
      <c r="P8" s="16">
        <v>1.0E10</v>
      </c>
      <c r="S8" s="16">
        <v>5.0E9</v>
      </c>
      <c r="T8" s="16">
        <v>1.0E9</v>
      </c>
      <c r="U8" s="5">
        <v>1450.0</v>
      </c>
      <c r="V8" s="5">
        <v>100.0</v>
      </c>
      <c r="W8" s="16">
        <v>8000000.0</v>
      </c>
      <c r="X8" s="16">
        <v>600000.0</v>
      </c>
      <c r="Y8" s="5" t="s">
        <v>146</v>
      </c>
    </row>
    <row r="9" ht="14.25" customHeight="1">
      <c r="A9" s="5" t="s">
        <v>147</v>
      </c>
      <c r="B9" s="5" t="s">
        <v>135</v>
      </c>
      <c r="C9" s="5" t="s">
        <v>77</v>
      </c>
      <c r="E9" s="5" t="s">
        <v>148</v>
      </c>
      <c r="F9" s="5" t="s">
        <v>125</v>
      </c>
      <c r="G9" s="5" t="s">
        <v>149</v>
      </c>
      <c r="H9" s="5" t="s">
        <v>127</v>
      </c>
      <c r="W9" s="16">
        <v>130000.0</v>
      </c>
      <c r="X9" s="16">
        <v>12000.0</v>
      </c>
      <c r="Y9" s="5" t="s">
        <v>150</v>
      </c>
    </row>
    <row r="10" ht="14.25" customHeight="1">
      <c r="A10" s="5" t="s">
        <v>147</v>
      </c>
      <c r="B10" s="5" t="s">
        <v>135</v>
      </c>
      <c r="C10" s="5" t="s">
        <v>77</v>
      </c>
      <c r="E10" s="5" t="s">
        <v>148</v>
      </c>
      <c r="F10" s="5" t="s">
        <v>125</v>
      </c>
      <c r="G10" s="5" t="s">
        <v>149</v>
      </c>
      <c r="H10" s="5" t="s">
        <v>127</v>
      </c>
      <c r="M10" s="17">
        <v>0.154</v>
      </c>
      <c r="N10" s="17">
        <v>0.016</v>
      </c>
      <c r="O10" s="16">
        <v>5.0E10</v>
      </c>
      <c r="P10" s="16">
        <v>2.0E10</v>
      </c>
      <c r="S10" s="16">
        <v>8.0E9</v>
      </c>
      <c r="T10" s="16">
        <v>4.0E9</v>
      </c>
      <c r="U10" s="5">
        <v>15000.0</v>
      </c>
      <c r="W10" s="16">
        <v>500000.0</v>
      </c>
      <c r="X10" s="16">
        <v>200000.0</v>
      </c>
      <c r="Y10" s="5" t="s">
        <v>151</v>
      </c>
    </row>
    <row r="11" ht="14.25" customHeight="1">
      <c r="A11" s="5" t="s">
        <v>152</v>
      </c>
      <c r="B11" s="5" t="s">
        <v>135</v>
      </c>
      <c r="C11" s="5" t="s">
        <v>66</v>
      </c>
      <c r="E11" s="5" t="s">
        <v>153</v>
      </c>
      <c r="F11" s="5" t="s">
        <v>125</v>
      </c>
      <c r="G11" s="5" t="s">
        <v>154</v>
      </c>
      <c r="H11" s="5" t="s">
        <v>155</v>
      </c>
      <c r="U11" s="5">
        <v>10.0</v>
      </c>
      <c r="V11" s="5">
        <v>5.0</v>
      </c>
      <c r="W11" s="16">
        <v>2000000.0</v>
      </c>
      <c r="X11" s="16">
        <v>400000.0</v>
      </c>
      <c r="Y11" s="5" t="s">
        <v>156</v>
      </c>
    </row>
    <row r="12" ht="14.25" customHeight="1">
      <c r="A12" s="5" t="s">
        <v>157</v>
      </c>
      <c r="B12" s="5" t="s">
        <v>158</v>
      </c>
      <c r="C12" s="5" t="s">
        <v>46</v>
      </c>
      <c r="E12" s="5" t="s">
        <v>159</v>
      </c>
      <c r="F12" s="5" t="s">
        <v>125</v>
      </c>
      <c r="G12" s="5" t="s">
        <v>160</v>
      </c>
      <c r="H12" s="5" t="s">
        <v>155</v>
      </c>
      <c r="M12" s="5">
        <v>0.056</v>
      </c>
      <c r="N12" s="5">
        <v>0.009</v>
      </c>
      <c r="O12" s="5">
        <v>1.9E10</v>
      </c>
      <c r="P12" s="5">
        <v>1.0E10</v>
      </c>
      <c r="S12" s="5">
        <v>1.1E9</v>
      </c>
      <c r="T12" s="5">
        <v>5.8E8</v>
      </c>
      <c r="U12" s="5">
        <v>555.0</v>
      </c>
      <c r="W12" s="16">
        <v>1900000.0</v>
      </c>
      <c r="X12" s="16">
        <v>1100000.0</v>
      </c>
      <c r="Y12" s="5" t="s">
        <v>161</v>
      </c>
    </row>
    <row r="13" ht="14.25" customHeight="1">
      <c r="A13" s="5" t="s">
        <v>157</v>
      </c>
      <c r="B13" s="5" t="s">
        <v>162</v>
      </c>
      <c r="C13" s="5" t="s">
        <v>46</v>
      </c>
      <c r="E13" s="5" t="s">
        <v>159</v>
      </c>
      <c r="F13" s="5" t="s">
        <v>125</v>
      </c>
      <c r="G13" s="5" t="s">
        <v>160</v>
      </c>
      <c r="H13" s="5" t="s">
        <v>155</v>
      </c>
      <c r="M13" s="5">
        <v>0.059</v>
      </c>
      <c r="N13" s="5">
        <v>0.0065</v>
      </c>
      <c r="O13" s="5">
        <v>1.9E10</v>
      </c>
      <c r="P13" s="5">
        <v>1.0E10</v>
      </c>
      <c r="S13" s="5">
        <v>1.1E9</v>
      </c>
      <c r="T13" s="5">
        <v>6.0E8</v>
      </c>
      <c r="U13" s="5">
        <v>555.0</v>
      </c>
      <c r="W13" s="16">
        <v>2000000.0</v>
      </c>
      <c r="X13" s="16">
        <v>1100000.0</v>
      </c>
      <c r="Y13" s="5" t="s">
        <v>161</v>
      </c>
    </row>
    <row r="14" ht="14.25" customHeight="1">
      <c r="A14" s="5" t="s">
        <v>163</v>
      </c>
      <c r="B14" s="5" t="s">
        <v>164</v>
      </c>
      <c r="C14" s="5" t="s">
        <v>46</v>
      </c>
      <c r="D14" s="5" t="s">
        <v>47</v>
      </c>
      <c r="F14" s="5" t="s">
        <v>125</v>
      </c>
      <c r="G14" s="5" t="s">
        <v>160</v>
      </c>
      <c r="H14" s="5" t="s">
        <v>127</v>
      </c>
      <c r="W14" s="16">
        <v>2.3E7</v>
      </c>
      <c r="X14" s="16">
        <v>5000000.0</v>
      </c>
      <c r="Y14" s="5" t="s">
        <v>165</v>
      </c>
    </row>
    <row r="15" ht="14.25" customHeight="1">
      <c r="A15" s="5" t="s">
        <v>166</v>
      </c>
      <c r="B15" s="5" t="s">
        <v>135</v>
      </c>
      <c r="C15" s="5" t="s">
        <v>41</v>
      </c>
      <c r="D15" s="5" t="s">
        <v>42</v>
      </c>
      <c r="F15" s="5" t="s">
        <v>125</v>
      </c>
      <c r="G15" s="5" t="s">
        <v>167</v>
      </c>
      <c r="H15" s="5" t="s">
        <v>168</v>
      </c>
      <c r="I15" s="16">
        <v>1000000.0</v>
      </c>
      <c r="J15" s="5">
        <v>0.0</v>
      </c>
      <c r="K15" s="5">
        <v>7.0</v>
      </c>
      <c r="L15" s="5">
        <v>0.4</v>
      </c>
      <c r="W15" s="16">
        <v>700000.0</v>
      </c>
      <c r="X15" s="16">
        <v>40000.0</v>
      </c>
      <c r="Y15" s="5" t="s">
        <v>169</v>
      </c>
    </row>
    <row r="16" ht="14.25" customHeight="1">
      <c r="A16" s="5" t="s">
        <v>166</v>
      </c>
      <c r="B16" s="5" t="s">
        <v>135</v>
      </c>
      <c r="C16" s="5" t="s">
        <v>41</v>
      </c>
      <c r="D16" s="5" t="s">
        <v>44</v>
      </c>
      <c r="F16" s="5" t="s">
        <v>125</v>
      </c>
      <c r="G16" s="5" t="s">
        <v>167</v>
      </c>
      <c r="H16" s="5" t="s">
        <v>168</v>
      </c>
      <c r="I16" s="16">
        <v>1000000.0</v>
      </c>
      <c r="J16" s="5">
        <v>0.0</v>
      </c>
      <c r="K16" s="5">
        <v>59.5</v>
      </c>
      <c r="L16" s="5">
        <v>3.4</v>
      </c>
      <c r="W16" s="16">
        <v>6000000.0</v>
      </c>
      <c r="X16" s="16">
        <v>340000.0</v>
      </c>
      <c r="Y16" s="5" t="s">
        <v>169</v>
      </c>
    </row>
    <row r="17" ht="14.25" customHeight="1">
      <c r="A17" s="5" t="s">
        <v>170</v>
      </c>
      <c r="B17" s="5" t="s">
        <v>135</v>
      </c>
      <c r="C17" s="5" t="s">
        <v>72</v>
      </c>
      <c r="E17" s="5" t="s">
        <v>171</v>
      </c>
      <c r="F17" s="5" t="s">
        <v>125</v>
      </c>
      <c r="G17" s="5" t="s">
        <v>172</v>
      </c>
      <c r="H17" s="5" t="s">
        <v>127</v>
      </c>
      <c r="I17" s="16">
        <v>1000000.0</v>
      </c>
      <c r="J17" s="5">
        <v>8.0</v>
      </c>
      <c r="K17" s="5">
        <v>13.0</v>
      </c>
      <c r="L17" s="5">
        <v>3.1</v>
      </c>
      <c r="W17" s="16">
        <v>720000.0</v>
      </c>
      <c r="X17" s="16">
        <v>170000.0</v>
      </c>
      <c r="Y17" s="5" t="s">
        <v>173</v>
      </c>
    </row>
    <row r="18" ht="14.25" customHeight="1">
      <c r="A18" s="5" t="s">
        <v>174</v>
      </c>
      <c r="B18" s="5" t="s">
        <v>135</v>
      </c>
      <c r="C18" s="5" t="s">
        <v>74</v>
      </c>
      <c r="F18" s="5" t="s">
        <v>125</v>
      </c>
      <c r="G18" s="5" t="s">
        <v>133</v>
      </c>
      <c r="H18" s="5" t="s">
        <v>127</v>
      </c>
      <c r="I18" s="16">
        <v>100000.0</v>
      </c>
      <c r="J18" s="5">
        <v>3.0</v>
      </c>
      <c r="K18" s="5">
        <v>1.0</v>
      </c>
      <c r="L18" s="5">
        <v>0.5</v>
      </c>
      <c r="W18" s="16">
        <v>770000.0</v>
      </c>
      <c r="X18" s="16">
        <v>380000.0</v>
      </c>
      <c r="Y18" s="5" t="s">
        <v>175</v>
      </c>
    </row>
    <row r="19" ht="14.25" customHeight="1">
      <c r="A19" s="5" t="s">
        <v>176</v>
      </c>
      <c r="B19" s="5" t="s">
        <v>135</v>
      </c>
      <c r="C19" s="5" t="s">
        <v>21</v>
      </c>
      <c r="F19" s="5" t="s">
        <v>125</v>
      </c>
      <c r="G19" s="5" t="s">
        <v>177</v>
      </c>
      <c r="H19" s="5" t="s">
        <v>155</v>
      </c>
      <c r="M19" s="17">
        <v>0.001</v>
      </c>
      <c r="N19" s="17">
        <v>0.0</v>
      </c>
      <c r="Q19" s="16">
        <v>1.4E9</v>
      </c>
      <c r="W19" s="16">
        <v>1400000.0</v>
      </c>
      <c r="X19" s="16">
        <v>410000.0</v>
      </c>
      <c r="Y19" s="5" t="s">
        <v>178</v>
      </c>
    </row>
    <row r="20" ht="14.25" customHeight="1">
      <c r="A20" s="5" t="s">
        <v>176</v>
      </c>
      <c r="B20" s="5" t="s">
        <v>179</v>
      </c>
      <c r="C20" s="5" t="s">
        <v>21</v>
      </c>
      <c r="F20" s="5" t="s">
        <v>125</v>
      </c>
      <c r="G20" s="5" t="s">
        <v>177</v>
      </c>
      <c r="H20" s="5" t="s">
        <v>155</v>
      </c>
      <c r="M20" s="17">
        <v>0.0033</v>
      </c>
      <c r="N20" s="17">
        <v>0.0011</v>
      </c>
      <c r="Q20" s="16">
        <v>1.4E9</v>
      </c>
      <c r="W20" s="16">
        <v>4400000.0</v>
      </c>
      <c r="X20" s="16">
        <v>1500000.0</v>
      </c>
      <c r="Y20" s="5" t="s">
        <v>178</v>
      </c>
    </row>
    <row r="21" ht="14.25" customHeight="1">
      <c r="A21" s="5" t="s">
        <v>180</v>
      </c>
      <c r="B21" s="5" t="s">
        <v>181</v>
      </c>
      <c r="C21" s="5" t="s">
        <v>29</v>
      </c>
      <c r="D21" s="5" t="s">
        <v>32</v>
      </c>
      <c r="F21" s="5" t="s">
        <v>125</v>
      </c>
      <c r="G21" s="5" t="s">
        <v>126</v>
      </c>
      <c r="H21" s="5" t="s">
        <v>127</v>
      </c>
      <c r="M21" s="17">
        <v>0.01</v>
      </c>
      <c r="N21" s="17">
        <v>0.004</v>
      </c>
      <c r="O21" s="16">
        <v>2.0E10</v>
      </c>
      <c r="P21" s="16">
        <v>4.0E9</v>
      </c>
      <c r="S21" s="16">
        <v>2.0E8</v>
      </c>
      <c r="T21" s="16">
        <v>8.0E7</v>
      </c>
      <c r="U21" s="5">
        <v>50.0</v>
      </c>
      <c r="V21" s="5">
        <v>20.0</v>
      </c>
      <c r="W21" s="16">
        <v>3000000.0</v>
      </c>
      <c r="X21" s="16">
        <v>2000000.0</v>
      </c>
      <c r="Y21" s="5" t="s">
        <v>182</v>
      </c>
    </row>
    <row r="22" ht="14.25" customHeight="1">
      <c r="A22" s="5" t="s">
        <v>180</v>
      </c>
      <c r="B22" s="5" t="s">
        <v>181</v>
      </c>
      <c r="C22" s="5" t="s">
        <v>34</v>
      </c>
      <c r="D22" s="5" t="s">
        <v>32</v>
      </c>
      <c r="E22" s="5" t="s">
        <v>183</v>
      </c>
      <c r="F22" s="5" t="s">
        <v>125</v>
      </c>
      <c r="G22" s="5" t="s">
        <v>126</v>
      </c>
      <c r="H22" s="5" t="s">
        <v>127</v>
      </c>
      <c r="M22" s="17">
        <v>0.009</v>
      </c>
      <c r="N22" s="17">
        <v>0.001</v>
      </c>
      <c r="O22" s="16">
        <v>7.0E9</v>
      </c>
      <c r="P22" s="16">
        <v>2.0E9</v>
      </c>
      <c r="S22" s="16">
        <v>7.0E7</v>
      </c>
      <c r="T22" s="16">
        <v>2.0E7</v>
      </c>
      <c r="U22" s="5">
        <v>8.0</v>
      </c>
      <c r="V22" s="5">
        <v>2.0</v>
      </c>
      <c r="W22" s="16">
        <v>8000000.0</v>
      </c>
      <c r="X22" s="16">
        <v>3000000.0</v>
      </c>
      <c r="Y22" s="5" t="s">
        <v>182</v>
      </c>
    </row>
    <row r="23" ht="14.25" customHeight="1">
      <c r="A23" s="5" t="s">
        <v>180</v>
      </c>
      <c r="B23" s="5" t="s">
        <v>181</v>
      </c>
      <c r="C23" s="5" t="s">
        <v>34</v>
      </c>
      <c r="D23" s="5" t="s">
        <v>32</v>
      </c>
      <c r="E23" s="5" t="s">
        <v>184</v>
      </c>
      <c r="F23" s="5" t="s">
        <v>125</v>
      </c>
      <c r="G23" s="5" t="s">
        <v>126</v>
      </c>
      <c r="H23" s="5" t="s">
        <v>127</v>
      </c>
      <c r="M23" s="17">
        <v>0.009</v>
      </c>
      <c r="N23" s="17">
        <v>0.002</v>
      </c>
      <c r="O23" s="16">
        <v>1.0E11</v>
      </c>
      <c r="P23" s="16">
        <v>3.0E10</v>
      </c>
      <c r="S23" s="16">
        <v>1.0E9</v>
      </c>
      <c r="T23" s="16">
        <v>4.0E8</v>
      </c>
      <c r="U23" s="5">
        <v>120.0</v>
      </c>
      <c r="V23" s="5">
        <v>13.0</v>
      </c>
      <c r="W23" s="16">
        <v>8000000.0</v>
      </c>
      <c r="X23" s="16">
        <v>3000000.0</v>
      </c>
      <c r="Y23" s="5" t="s">
        <v>182</v>
      </c>
    </row>
    <row r="24" ht="14.25" customHeight="1">
      <c r="A24" s="5" t="s">
        <v>180</v>
      </c>
      <c r="B24" s="5" t="s">
        <v>181</v>
      </c>
      <c r="C24" s="5" t="s">
        <v>35</v>
      </c>
      <c r="D24" s="5" t="s">
        <v>32</v>
      </c>
      <c r="E24" s="5" t="s">
        <v>35</v>
      </c>
      <c r="F24" s="5" t="s">
        <v>125</v>
      </c>
      <c r="G24" s="5" t="s">
        <v>126</v>
      </c>
      <c r="H24" s="5" t="s">
        <v>127</v>
      </c>
      <c r="M24" s="17">
        <v>0.07</v>
      </c>
      <c r="N24" s="17">
        <v>0.001</v>
      </c>
      <c r="O24" s="16">
        <v>5.0E10</v>
      </c>
      <c r="P24" s="16">
        <v>2.0E10</v>
      </c>
      <c r="S24" s="16">
        <v>4.0E9</v>
      </c>
      <c r="T24" s="16">
        <v>2.0E9</v>
      </c>
      <c r="U24" s="5">
        <v>51.0</v>
      </c>
      <c r="V24" s="5">
        <v>12.0</v>
      </c>
      <c r="W24" s="16">
        <v>7.0E7</v>
      </c>
      <c r="X24" s="16">
        <v>3.0E7</v>
      </c>
    </row>
    <row r="25" ht="14.25" customHeight="1">
      <c r="A25" s="5" t="s">
        <v>180</v>
      </c>
      <c r="B25" s="5" t="s">
        <v>181</v>
      </c>
      <c r="C25" s="5" t="s">
        <v>35</v>
      </c>
      <c r="D25" s="5" t="s">
        <v>32</v>
      </c>
      <c r="E25" s="5" t="s">
        <v>185</v>
      </c>
      <c r="F25" s="5" t="s">
        <v>125</v>
      </c>
      <c r="G25" s="5" t="s">
        <v>126</v>
      </c>
      <c r="H25" s="5" t="s">
        <v>127</v>
      </c>
      <c r="M25" s="17">
        <v>0.06</v>
      </c>
      <c r="N25" s="17">
        <v>0.006</v>
      </c>
      <c r="O25" s="16">
        <v>7.0E9</v>
      </c>
      <c r="P25" s="16">
        <v>3.0E9</v>
      </c>
      <c r="S25" s="16">
        <v>4.0E8</v>
      </c>
      <c r="T25" s="16">
        <v>2.0E8</v>
      </c>
      <c r="U25" s="5">
        <v>7.0</v>
      </c>
      <c r="V25" s="5">
        <v>1.0</v>
      </c>
      <c r="W25" s="16">
        <v>6.0E7</v>
      </c>
      <c r="X25" s="16">
        <v>3.0E7</v>
      </c>
    </row>
    <row r="26" ht="14.25" customHeight="1">
      <c r="A26" s="5" t="s">
        <v>186</v>
      </c>
      <c r="B26" s="5" t="s">
        <v>135</v>
      </c>
      <c r="C26" s="5" t="s">
        <v>21</v>
      </c>
      <c r="F26" s="5" t="s">
        <v>187</v>
      </c>
      <c r="M26" s="17">
        <v>0.025</v>
      </c>
      <c r="N26" s="17">
        <v>0.0075</v>
      </c>
      <c r="Q26" s="16">
        <v>1.5E9</v>
      </c>
      <c r="R26" s="16">
        <v>3.0E8</v>
      </c>
      <c r="W26" s="16">
        <v>4.0E7</v>
      </c>
      <c r="X26" s="16">
        <v>1.0E7</v>
      </c>
    </row>
    <row r="27" ht="14.25" customHeight="1">
      <c r="A27" s="5" t="s">
        <v>188</v>
      </c>
      <c r="B27" s="5" t="s">
        <v>189</v>
      </c>
      <c r="C27" s="5" t="s">
        <v>16</v>
      </c>
      <c r="F27" s="5" t="s">
        <v>187</v>
      </c>
      <c r="M27" s="17">
        <v>0.004</v>
      </c>
      <c r="N27" s="17">
        <v>0.001</v>
      </c>
      <c r="Q27" s="16">
        <v>1.0E9</v>
      </c>
      <c r="W27" s="16">
        <v>4000000.0</v>
      </c>
      <c r="X27" s="16">
        <f t="shared" ref="X27:X29" si="1">Q27*N27</f>
        <v>1000000</v>
      </c>
      <c r="Y27" s="5" t="s">
        <v>190</v>
      </c>
    </row>
    <row r="28" ht="14.25" customHeight="1">
      <c r="A28" s="5" t="s">
        <v>191</v>
      </c>
      <c r="B28" s="5" t="s">
        <v>192</v>
      </c>
      <c r="C28" s="5" t="s">
        <v>16</v>
      </c>
      <c r="F28" s="5" t="s">
        <v>187</v>
      </c>
      <c r="G28" s="5" t="s">
        <v>145</v>
      </c>
      <c r="H28" s="5" t="s">
        <v>155</v>
      </c>
      <c r="M28" s="17">
        <v>0.01</v>
      </c>
      <c r="N28" s="17">
        <v>0.001</v>
      </c>
      <c r="Q28" s="16">
        <v>1.0E9</v>
      </c>
      <c r="W28" s="16">
        <v>1.0E7</v>
      </c>
      <c r="X28" s="16">
        <f t="shared" si="1"/>
        <v>1000000</v>
      </c>
    </row>
    <row r="29" ht="14.25" customHeight="1">
      <c r="A29" s="5" t="s">
        <v>191</v>
      </c>
      <c r="B29" s="5" t="s">
        <v>179</v>
      </c>
      <c r="C29" s="5" t="s">
        <v>16</v>
      </c>
      <c r="F29" s="5" t="s">
        <v>187</v>
      </c>
      <c r="G29" s="5" t="s">
        <v>145</v>
      </c>
      <c r="H29" s="5" t="s">
        <v>155</v>
      </c>
      <c r="M29" s="17">
        <v>0.006</v>
      </c>
      <c r="N29" s="17">
        <v>0.001</v>
      </c>
      <c r="Q29" s="16">
        <v>1.0E9</v>
      </c>
      <c r="W29" s="16">
        <v>6000000.0</v>
      </c>
      <c r="X29" s="16">
        <f t="shared" si="1"/>
        <v>1000000</v>
      </c>
    </row>
    <row r="30" ht="14.25" customHeight="1">
      <c r="A30" s="5" t="s">
        <v>193</v>
      </c>
      <c r="B30" s="5" t="s">
        <v>192</v>
      </c>
      <c r="C30" s="5" t="s">
        <v>194</v>
      </c>
      <c r="F30" s="5" t="s">
        <v>187</v>
      </c>
      <c r="G30" s="5" t="s">
        <v>145</v>
      </c>
      <c r="H30" s="5" t="s">
        <v>195</v>
      </c>
      <c r="W30" s="16">
        <v>6.0E7</v>
      </c>
      <c r="X30" s="16">
        <v>6000000.0</v>
      </c>
    </row>
    <row r="31" ht="14.25" customHeight="1">
      <c r="A31" s="5" t="s">
        <v>193</v>
      </c>
      <c r="B31" s="5" t="s">
        <v>192</v>
      </c>
      <c r="C31" s="5" t="s">
        <v>37</v>
      </c>
      <c r="F31" s="5" t="s">
        <v>187</v>
      </c>
      <c r="G31" s="5" t="s">
        <v>145</v>
      </c>
      <c r="H31" s="5" t="s">
        <v>195</v>
      </c>
      <c r="W31" s="16">
        <v>1.0E7</v>
      </c>
      <c r="X31" s="16">
        <v>2000000.0</v>
      </c>
    </row>
    <row r="32" ht="14.25" customHeight="1">
      <c r="A32" s="5" t="s">
        <v>193</v>
      </c>
      <c r="B32" s="5" t="s">
        <v>192</v>
      </c>
      <c r="C32" s="5" t="s">
        <v>41</v>
      </c>
      <c r="D32" s="5" t="s">
        <v>42</v>
      </c>
      <c r="F32" s="5" t="s">
        <v>187</v>
      </c>
      <c r="G32" s="5" t="s">
        <v>145</v>
      </c>
      <c r="H32" s="5" t="s">
        <v>195</v>
      </c>
      <c r="W32" s="16">
        <v>2.0E7</v>
      </c>
      <c r="X32" s="16">
        <v>5000000.0</v>
      </c>
    </row>
    <row r="33" ht="14.25" customHeight="1">
      <c r="A33" s="5" t="s">
        <v>193</v>
      </c>
      <c r="B33" s="5" t="s">
        <v>192</v>
      </c>
      <c r="C33" s="5" t="s">
        <v>52</v>
      </c>
      <c r="F33" s="5" t="s">
        <v>187</v>
      </c>
      <c r="G33" s="5" t="s">
        <v>145</v>
      </c>
      <c r="H33" s="5" t="s">
        <v>195</v>
      </c>
      <c r="W33" s="16">
        <v>1.0E7</v>
      </c>
      <c r="X33" s="16">
        <v>2000000.0</v>
      </c>
    </row>
    <row r="34" ht="14.25" customHeight="1">
      <c r="A34" s="5" t="s">
        <v>193</v>
      </c>
      <c r="B34" s="5" t="s">
        <v>192</v>
      </c>
      <c r="C34" s="5" t="s">
        <v>51</v>
      </c>
      <c r="F34" s="5" t="s">
        <v>187</v>
      </c>
      <c r="G34" s="5" t="s">
        <v>145</v>
      </c>
      <c r="H34" s="5" t="s">
        <v>195</v>
      </c>
      <c r="W34" s="16">
        <v>3000000.0</v>
      </c>
      <c r="X34" s="16">
        <v>0.0</v>
      </c>
    </row>
    <row r="35" ht="14.25" customHeight="1">
      <c r="A35" s="5" t="s">
        <v>193</v>
      </c>
      <c r="B35" s="5" t="s">
        <v>192</v>
      </c>
      <c r="C35" s="5" t="s">
        <v>59</v>
      </c>
      <c r="F35" s="5" t="s">
        <v>187</v>
      </c>
      <c r="G35" s="5" t="s">
        <v>145</v>
      </c>
      <c r="H35" s="5" t="s">
        <v>195</v>
      </c>
      <c r="W35" s="16">
        <v>1.0E7</v>
      </c>
      <c r="X35" s="16">
        <v>3000000.0</v>
      </c>
    </row>
    <row r="36" ht="14.25" customHeight="1">
      <c r="A36" s="5" t="s">
        <v>193</v>
      </c>
      <c r="B36" s="5" t="s">
        <v>192</v>
      </c>
      <c r="C36" s="5" t="s">
        <v>29</v>
      </c>
      <c r="D36" s="5" t="s">
        <v>32</v>
      </c>
      <c r="F36" s="5" t="s">
        <v>187</v>
      </c>
      <c r="G36" s="5" t="s">
        <v>145</v>
      </c>
      <c r="H36" s="5" t="s">
        <v>195</v>
      </c>
      <c r="W36" s="16">
        <v>1.0E7</v>
      </c>
      <c r="X36" s="16">
        <v>3000000.0</v>
      </c>
    </row>
    <row r="37" ht="14.25" customHeight="1">
      <c r="A37" s="5" t="s">
        <v>193</v>
      </c>
      <c r="B37" s="5" t="s">
        <v>192</v>
      </c>
      <c r="C37" s="5" t="s">
        <v>34</v>
      </c>
      <c r="D37" s="5" t="s">
        <v>32</v>
      </c>
      <c r="F37" s="5" t="s">
        <v>187</v>
      </c>
      <c r="G37" s="5" t="s">
        <v>145</v>
      </c>
      <c r="H37" s="5" t="s">
        <v>195</v>
      </c>
      <c r="W37" s="16">
        <v>1.0E7</v>
      </c>
      <c r="X37" s="16">
        <v>3000000.0</v>
      </c>
    </row>
    <row r="38" ht="14.25" customHeight="1">
      <c r="A38" s="5" t="s">
        <v>193</v>
      </c>
      <c r="B38" s="5" t="s">
        <v>192</v>
      </c>
      <c r="C38" s="5" t="s">
        <v>35</v>
      </c>
      <c r="D38" s="5" t="s">
        <v>32</v>
      </c>
      <c r="F38" s="5" t="s">
        <v>187</v>
      </c>
      <c r="G38" s="5" t="s">
        <v>145</v>
      </c>
      <c r="H38" s="5" t="s">
        <v>195</v>
      </c>
      <c r="W38" s="16">
        <v>2.0E7</v>
      </c>
      <c r="X38" s="16">
        <v>3000000.0</v>
      </c>
    </row>
    <row r="39" ht="14.25" customHeight="1">
      <c r="A39" s="5" t="s">
        <v>193</v>
      </c>
      <c r="B39" s="5" t="s">
        <v>192</v>
      </c>
      <c r="C39" s="5" t="s">
        <v>16</v>
      </c>
      <c r="E39" s="5" t="s">
        <v>196</v>
      </c>
      <c r="F39" s="5" t="s">
        <v>187</v>
      </c>
      <c r="G39" s="5" t="s">
        <v>145</v>
      </c>
      <c r="H39" s="5" t="s">
        <v>195</v>
      </c>
      <c r="W39" s="16">
        <v>2.0E7</v>
      </c>
      <c r="X39" s="16">
        <v>5000000.0</v>
      </c>
    </row>
    <row r="40" ht="14.25" customHeight="1">
      <c r="A40" s="5" t="s">
        <v>193</v>
      </c>
      <c r="B40" s="5" t="s">
        <v>192</v>
      </c>
      <c r="C40" s="5" t="s">
        <v>16</v>
      </c>
      <c r="E40" s="5" t="s">
        <v>197</v>
      </c>
      <c r="F40" s="5" t="s">
        <v>187</v>
      </c>
      <c r="G40" s="5" t="s">
        <v>145</v>
      </c>
      <c r="H40" s="5" t="s">
        <v>195</v>
      </c>
      <c r="W40" s="16">
        <v>3.0E7</v>
      </c>
      <c r="X40" s="16">
        <v>6000000.0</v>
      </c>
    </row>
    <row r="41" ht="14.25" customHeight="1">
      <c r="A41" s="5" t="s">
        <v>193</v>
      </c>
      <c r="B41" s="5" t="s">
        <v>192</v>
      </c>
      <c r="C41" s="5" t="s">
        <v>34</v>
      </c>
      <c r="D41" s="5" t="s">
        <v>198</v>
      </c>
      <c r="F41" s="5" t="s">
        <v>187</v>
      </c>
      <c r="G41" s="5" t="s">
        <v>145</v>
      </c>
      <c r="H41" s="5" t="s">
        <v>195</v>
      </c>
      <c r="W41" s="16">
        <v>2.0E7</v>
      </c>
      <c r="X41" s="16">
        <v>4000000.0</v>
      </c>
    </row>
    <row r="42" ht="14.25" customHeight="1">
      <c r="A42" s="5" t="s">
        <v>193</v>
      </c>
      <c r="B42" s="5" t="s">
        <v>192</v>
      </c>
      <c r="C42" s="5" t="s">
        <v>22</v>
      </c>
      <c r="F42" s="5" t="s">
        <v>187</v>
      </c>
      <c r="G42" s="5" t="s">
        <v>145</v>
      </c>
      <c r="H42" s="5" t="s">
        <v>195</v>
      </c>
      <c r="W42" s="16">
        <v>1.0E7</v>
      </c>
      <c r="X42" s="16">
        <v>3000000.0</v>
      </c>
    </row>
    <row r="43" ht="14.25" customHeight="1">
      <c r="A43" s="5" t="s">
        <v>193</v>
      </c>
      <c r="B43" s="5" t="s">
        <v>192</v>
      </c>
      <c r="C43" s="5" t="s">
        <v>21</v>
      </c>
      <c r="F43" s="5" t="s">
        <v>187</v>
      </c>
      <c r="G43" s="5" t="s">
        <v>145</v>
      </c>
      <c r="H43" s="5" t="s">
        <v>195</v>
      </c>
      <c r="W43" s="16">
        <v>5.0E7</v>
      </c>
      <c r="X43" s="16">
        <v>2000000.0</v>
      </c>
    </row>
    <row r="44" ht="14.25" customHeight="1">
      <c r="A44" s="5" t="s">
        <v>193</v>
      </c>
      <c r="B44" s="5" t="s">
        <v>192</v>
      </c>
      <c r="C44" s="5" t="s">
        <v>25</v>
      </c>
      <c r="F44" s="5" t="s">
        <v>187</v>
      </c>
      <c r="G44" s="5" t="s">
        <v>145</v>
      </c>
      <c r="H44" s="5" t="s">
        <v>195</v>
      </c>
      <c r="W44" s="16">
        <v>1.6E7</v>
      </c>
      <c r="X44" s="16">
        <v>3000000.0</v>
      </c>
    </row>
    <row r="45" ht="14.25" customHeight="1">
      <c r="A45" s="5" t="s">
        <v>199</v>
      </c>
      <c r="B45" s="5" t="s">
        <v>200</v>
      </c>
      <c r="C45" s="5" t="s">
        <v>13</v>
      </c>
      <c r="F45" s="5" t="s">
        <v>187</v>
      </c>
      <c r="G45" s="5" t="s">
        <v>145</v>
      </c>
      <c r="H45" s="5" t="s">
        <v>201</v>
      </c>
      <c r="M45" s="17">
        <v>0.009</v>
      </c>
      <c r="S45" s="16">
        <v>300000.0</v>
      </c>
      <c r="U45" s="5">
        <v>0.023</v>
      </c>
      <c r="V45" s="5">
        <v>0.002</v>
      </c>
      <c r="W45" s="16">
        <v>1.0E7</v>
      </c>
      <c r="X45" s="16">
        <v>900000.0</v>
      </c>
    </row>
    <row r="46" ht="14.25" customHeight="1">
      <c r="A46" s="5" t="s">
        <v>202</v>
      </c>
      <c r="B46" s="5" t="s">
        <v>192</v>
      </c>
      <c r="C46" s="5" t="s">
        <v>13</v>
      </c>
      <c r="F46" s="5" t="s">
        <v>187</v>
      </c>
      <c r="G46" s="5" t="s">
        <v>145</v>
      </c>
      <c r="S46" s="16">
        <v>600000.0</v>
      </c>
      <c r="U46" s="5">
        <v>0.0115</v>
      </c>
      <c r="V46" s="5">
        <v>0.001</v>
      </c>
      <c r="W46" s="16">
        <v>5.0E7</v>
      </c>
      <c r="X46" s="16">
        <v>5000000.0</v>
      </c>
      <c r="Y46" s="5" t="s">
        <v>203</v>
      </c>
    </row>
    <row r="47" ht="14.25" customHeight="1">
      <c r="A47" s="5" t="s">
        <v>202</v>
      </c>
      <c r="B47" s="5" t="s">
        <v>192</v>
      </c>
      <c r="C47" s="5" t="s">
        <v>13</v>
      </c>
      <c r="F47" s="5" t="s">
        <v>187</v>
      </c>
      <c r="G47" s="5" t="s">
        <v>145</v>
      </c>
      <c r="S47" s="16">
        <v>3000000.0</v>
      </c>
      <c r="T47" s="16">
        <v>1000000.0</v>
      </c>
      <c r="U47" s="5">
        <v>0.11</v>
      </c>
      <c r="V47" s="5">
        <v>0.02</v>
      </c>
      <c r="W47" s="16">
        <v>2.0E7</v>
      </c>
      <c r="X47" s="16">
        <v>4000000.0</v>
      </c>
      <c r="Y47" s="5" t="s">
        <v>203</v>
      </c>
    </row>
    <row r="48" ht="14.25" customHeight="1">
      <c r="A48" s="5" t="s">
        <v>202</v>
      </c>
      <c r="B48" s="5" t="s">
        <v>189</v>
      </c>
      <c r="C48" s="5" t="s">
        <v>13</v>
      </c>
      <c r="F48" s="5" t="s">
        <v>187</v>
      </c>
      <c r="G48" s="5" t="s">
        <v>145</v>
      </c>
      <c r="S48" s="16">
        <v>3000000.0</v>
      </c>
      <c r="T48" s="16">
        <v>1000000.0</v>
      </c>
      <c r="U48" s="5">
        <v>0.11</v>
      </c>
      <c r="V48" s="5">
        <v>0.02</v>
      </c>
      <c r="W48" s="16">
        <v>2.0E7</v>
      </c>
      <c r="X48" s="16">
        <v>4000000.0</v>
      </c>
      <c r="Y48" s="5" t="s">
        <v>203</v>
      </c>
    </row>
    <row r="49" ht="14.25" customHeight="1">
      <c r="A49" s="5" t="s">
        <v>204</v>
      </c>
      <c r="B49" s="5" t="s">
        <v>189</v>
      </c>
      <c r="C49" s="5" t="s">
        <v>21</v>
      </c>
      <c r="F49" s="5" t="s">
        <v>125</v>
      </c>
      <c r="G49" s="5" t="s">
        <v>205</v>
      </c>
      <c r="H49" s="5" t="s">
        <v>206</v>
      </c>
      <c r="I49" s="5">
        <v>250000.0</v>
      </c>
      <c r="J49" s="5">
        <v>0.0</v>
      </c>
      <c r="K49" s="5">
        <v>106.0</v>
      </c>
      <c r="M49" s="18">
        <v>0.03</v>
      </c>
      <c r="N49" s="17">
        <v>0.005</v>
      </c>
      <c r="Q49" s="16">
        <v>1.4E9</v>
      </c>
      <c r="W49" s="16">
        <v>4.2E7</v>
      </c>
      <c r="X49" s="16">
        <v>8500000.0</v>
      </c>
    </row>
    <row r="50" ht="14.25" customHeight="1">
      <c r="A50" s="5" t="s">
        <v>204</v>
      </c>
      <c r="B50" s="5" t="s">
        <v>192</v>
      </c>
      <c r="C50" s="5" t="s">
        <v>21</v>
      </c>
      <c r="F50" s="5" t="s">
        <v>125</v>
      </c>
      <c r="G50" s="5" t="s">
        <v>205</v>
      </c>
      <c r="H50" s="5" t="s">
        <v>206</v>
      </c>
      <c r="I50" s="5">
        <v>250000.0</v>
      </c>
      <c r="J50" s="5">
        <v>0.0</v>
      </c>
      <c r="K50" s="5">
        <v>891.0</v>
      </c>
      <c r="M50" s="18">
        <v>0.26</v>
      </c>
      <c r="N50" s="18">
        <v>0.01</v>
      </c>
      <c r="Q50" s="16">
        <v>1.4E9</v>
      </c>
      <c r="W50" s="16">
        <v>2.0E8</v>
      </c>
      <c r="X50" s="16">
        <v>4.4E7</v>
      </c>
      <c r="Y50" s="5" t="s">
        <v>207</v>
      </c>
    </row>
    <row r="51" ht="14.25" customHeight="1">
      <c r="A51" s="5" t="s">
        <v>204</v>
      </c>
      <c r="B51" s="5" t="s">
        <v>179</v>
      </c>
      <c r="C51" s="5" t="s">
        <v>21</v>
      </c>
      <c r="F51" s="5" t="s">
        <v>125</v>
      </c>
      <c r="G51" s="5" t="s">
        <v>205</v>
      </c>
      <c r="H51" s="5" t="s">
        <v>206</v>
      </c>
      <c r="I51" s="5">
        <v>250000.0</v>
      </c>
      <c r="J51" s="5">
        <v>0.0</v>
      </c>
      <c r="K51" s="5">
        <v>374.0</v>
      </c>
      <c r="M51" s="18">
        <v>0.11</v>
      </c>
      <c r="N51" s="18">
        <v>0.01</v>
      </c>
      <c r="Q51" s="16">
        <v>1.4E9</v>
      </c>
      <c r="W51" s="16">
        <v>9.4E7</v>
      </c>
      <c r="X51" s="16">
        <v>1.8E7</v>
      </c>
      <c r="Y51" s="5" t="s">
        <v>208</v>
      </c>
    </row>
    <row r="52" ht="14.25" customHeight="1">
      <c r="A52" s="5" t="s">
        <v>209</v>
      </c>
      <c r="B52" s="5" t="s">
        <v>189</v>
      </c>
      <c r="C52" s="5" t="s">
        <v>11</v>
      </c>
      <c r="F52" s="5" t="s">
        <v>125</v>
      </c>
      <c r="G52" s="5" t="s">
        <v>145</v>
      </c>
      <c r="H52" s="5" t="s">
        <v>210</v>
      </c>
      <c r="W52" s="16">
        <f>0.55*10^6</f>
        <v>550000</v>
      </c>
      <c r="X52" s="16">
        <f>0.08*10^6</f>
        <v>80000</v>
      </c>
      <c r="Y52" s="5" t="s">
        <v>211</v>
      </c>
    </row>
    <row r="53" ht="14.25" customHeight="1">
      <c r="A53" s="5" t="s">
        <v>212</v>
      </c>
      <c r="B53" s="5" t="s">
        <v>179</v>
      </c>
      <c r="C53" s="5" t="s">
        <v>11</v>
      </c>
      <c r="F53" s="5" t="s">
        <v>125</v>
      </c>
      <c r="G53" s="5" t="s">
        <v>145</v>
      </c>
      <c r="H53" s="5" t="s">
        <v>155</v>
      </c>
      <c r="M53" s="17">
        <v>0.003</v>
      </c>
      <c r="N53" s="17">
        <v>0.002</v>
      </c>
      <c r="Q53" s="16">
        <f>35*10^9</f>
        <v>35000000000</v>
      </c>
      <c r="R53" s="16">
        <f>5%*Q53</f>
        <v>1750000000</v>
      </c>
      <c r="S53" s="16">
        <f>M53*Q53</f>
        <v>105000000</v>
      </c>
      <c r="T53" s="16">
        <f>SQRT(SUMSQ(M53*R53,N53*Q53))</f>
        <v>70196598.92</v>
      </c>
      <c r="U53" s="5">
        <v>5250.0</v>
      </c>
      <c r="W53" s="16">
        <v>20000.0</v>
      </c>
      <c r="X53" s="16">
        <v>13400.0</v>
      </c>
      <c r="Y53" s="5" t="s">
        <v>213</v>
      </c>
    </row>
    <row r="54" ht="14.25" customHeight="1">
      <c r="A54" s="5" t="s">
        <v>214</v>
      </c>
      <c r="B54" s="5" t="s">
        <v>179</v>
      </c>
      <c r="C54" s="5" t="s">
        <v>46</v>
      </c>
      <c r="D54" s="5" t="s">
        <v>48</v>
      </c>
      <c r="F54" s="5" t="s">
        <v>125</v>
      </c>
      <c r="G54" s="5" t="s">
        <v>145</v>
      </c>
      <c r="H54" s="5" t="s">
        <v>127</v>
      </c>
      <c r="I54" s="16">
        <v>1000000.0</v>
      </c>
      <c r="J54" s="5">
        <v>300.0</v>
      </c>
      <c r="K54" s="5">
        <v>1470.0</v>
      </c>
      <c r="L54" s="5">
        <v>270.0</v>
      </c>
      <c r="W54" s="16">
        <v>4700000.0</v>
      </c>
      <c r="X54" s="16">
        <v>870000.0</v>
      </c>
      <c r="Y54" s="5" t="s">
        <v>215</v>
      </c>
    </row>
    <row r="55" ht="14.25" customHeight="1">
      <c r="A55" s="5" t="s">
        <v>214</v>
      </c>
      <c r="B55" s="5" t="s">
        <v>192</v>
      </c>
      <c r="C55" s="5" t="s">
        <v>46</v>
      </c>
      <c r="D55" s="5" t="s">
        <v>48</v>
      </c>
      <c r="F55" s="5" t="s">
        <v>125</v>
      </c>
      <c r="G55" s="5" t="s">
        <v>145</v>
      </c>
      <c r="H55" s="5" t="s">
        <v>127</v>
      </c>
      <c r="I55" s="16">
        <v>1000000.0</v>
      </c>
      <c r="J55" s="5">
        <v>300.0</v>
      </c>
      <c r="K55" s="5">
        <v>930.0</v>
      </c>
      <c r="L55" s="5">
        <v>250.0</v>
      </c>
      <c r="W55" s="16">
        <v>3000000.0</v>
      </c>
      <c r="X55" s="16">
        <v>810000.0</v>
      </c>
      <c r="Y55" s="5" t="s">
        <v>215</v>
      </c>
    </row>
    <row r="56" ht="14.25" customHeight="1">
      <c r="A56" s="5" t="s">
        <v>216</v>
      </c>
      <c r="B56" s="5" t="s">
        <v>179</v>
      </c>
      <c r="C56" s="5" t="s">
        <v>16</v>
      </c>
      <c r="F56" s="5" t="s">
        <v>125</v>
      </c>
      <c r="G56" s="5" t="s">
        <v>217</v>
      </c>
      <c r="H56" s="5" t="s">
        <v>127</v>
      </c>
      <c r="M56" s="17">
        <v>0.013</v>
      </c>
      <c r="N56" s="17">
        <v>0.004</v>
      </c>
      <c r="Q56" s="16">
        <v>2.0E9</v>
      </c>
      <c r="W56" s="16">
        <v>2.6E7</v>
      </c>
      <c r="X56" s="16">
        <v>8000000.0</v>
      </c>
      <c r="Y56" s="5" t="s">
        <v>218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Y$56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26" width="8.71"/>
  </cols>
  <sheetData>
    <row r="1" ht="14.25" customHeight="1">
      <c r="A1" s="5" t="s">
        <v>101</v>
      </c>
      <c r="B1" s="5" t="s">
        <v>102</v>
      </c>
      <c r="C1" s="5" t="s">
        <v>0</v>
      </c>
      <c r="D1" s="5" t="s">
        <v>1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  <c r="J1" s="5" t="s">
        <v>108</v>
      </c>
      <c r="K1" s="5" t="s">
        <v>109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  <c r="Q1" s="5" t="s">
        <v>115</v>
      </c>
      <c r="R1" s="5" t="s">
        <v>116</v>
      </c>
      <c r="S1" s="5" t="s">
        <v>117</v>
      </c>
      <c r="T1" s="5" t="s">
        <v>118</v>
      </c>
      <c r="U1" s="5" t="s">
        <v>119</v>
      </c>
      <c r="V1" s="5" t="s">
        <v>120</v>
      </c>
      <c r="W1" s="5" t="s">
        <v>121</v>
      </c>
      <c r="X1" s="5" t="s">
        <v>122</v>
      </c>
      <c r="Y1" s="5" t="s">
        <v>2</v>
      </c>
    </row>
    <row r="2" ht="14.25" customHeight="1">
      <c r="A2" s="5" t="s">
        <v>209</v>
      </c>
      <c r="B2" s="5" t="s">
        <v>219</v>
      </c>
      <c r="C2" s="5" t="s">
        <v>11</v>
      </c>
      <c r="F2" s="5" t="s">
        <v>125</v>
      </c>
      <c r="G2" s="5" t="s">
        <v>145</v>
      </c>
      <c r="H2" s="5" t="s">
        <v>220</v>
      </c>
      <c r="L2" s="16"/>
      <c r="M2" s="16"/>
      <c r="Q2" s="16"/>
      <c r="R2" s="16"/>
      <c r="S2" s="16">
        <v>2.1E10</v>
      </c>
      <c r="T2" s="16">
        <v>1.0E9</v>
      </c>
      <c r="U2" s="5">
        <v>5200.0</v>
      </c>
      <c r="W2" s="16">
        <v>4000000.0</v>
      </c>
      <c r="X2" s="16">
        <v>190000.0</v>
      </c>
    </row>
    <row r="3" ht="14.25" customHeight="1">
      <c r="A3" s="5" t="s">
        <v>209</v>
      </c>
      <c r="B3" s="5" t="s">
        <v>219</v>
      </c>
      <c r="C3" s="5" t="s">
        <v>15</v>
      </c>
      <c r="D3" s="5" t="s">
        <v>221</v>
      </c>
      <c r="F3" s="5" t="s">
        <v>125</v>
      </c>
      <c r="G3" s="5" t="s">
        <v>145</v>
      </c>
      <c r="H3" s="5" t="s">
        <v>220</v>
      </c>
      <c r="L3" s="16"/>
      <c r="M3" s="16"/>
      <c r="Q3" s="16"/>
      <c r="R3" s="16"/>
      <c r="S3" s="16">
        <v>1.8E11</v>
      </c>
      <c r="T3" s="16">
        <v>3.0E10</v>
      </c>
      <c r="U3" s="5">
        <v>1170.0</v>
      </c>
      <c r="W3" s="16">
        <v>1.5E8</v>
      </c>
      <c r="X3" s="16">
        <v>2.6E7</v>
      </c>
    </row>
    <row r="4" ht="14.25" customHeight="1">
      <c r="A4" s="5" t="s">
        <v>209</v>
      </c>
      <c r="B4" s="5" t="s">
        <v>219</v>
      </c>
      <c r="C4" s="5" t="s">
        <v>15</v>
      </c>
      <c r="D4" s="5" t="s">
        <v>222</v>
      </c>
      <c r="F4" s="5" t="s">
        <v>125</v>
      </c>
      <c r="G4" s="5" t="s">
        <v>145</v>
      </c>
      <c r="H4" s="5" t="s">
        <v>220</v>
      </c>
      <c r="L4" s="16"/>
      <c r="M4" s="16"/>
      <c r="Q4" s="16"/>
      <c r="R4" s="16"/>
      <c r="S4" s="16">
        <v>4.2E11</v>
      </c>
      <c r="T4" s="16">
        <v>6.0E10</v>
      </c>
      <c r="U4" s="5">
        <v>1170.0</v>
      </c>
      <c r="W4" s="16">
        <v>3.6E8</v>
      </c>
      <c r="X4" s="16">
        <v>5.1E7</v>
      </c>
    </row>
    <row r="5" ht="14.25" customHeight="1">
      <c r="A5" s="5" t="s">
        <v>209</v>
      </c>
      <c r="B5" s="5" t="s">
        <v>219</v>
      </c>
      <c r="C5" s="5" t="s">
        <v>223</v>
      </c>
      <c r="E5" s="5" t="s">
        <v>224</v>
      </c>
      <c r="F5" s="5" t="s">
        <v>125</v>
      </c>
      <c r="G5" s="5" t="s">
        <v>145</v>
      </c>
      <c r="H5" s="5" t="s">
        <v>220</v>
      </c>
      <c r="Q5" s="16"/>
      <c r="R5" s="16"/>
      <c r="S5" s="16">
        <v>2.1E10</v>
      </c>
      <c r="T5" s="16">
        <v>1.0E9</v>
      </c>
    </row>
    <row r="6" ht="14.25" customHeight="1">
      <c r="A6" s="5" t="s">
        <v>225</v>
      </c>
      <c r="B6" s="5" t="s">
        <v>219</v>
      </c>
      <c r="C6" s="5" t="s">
        <v>35</v>
      </c>
      <c r="D6" s="5" t="s">
        <v>32</v>
      </c>
      <c r="F6" s="5" t="s">
        <v>125</v>
      </c>
      <c r="G6" s="5" t="s">
        <v>145</v>
      </c>
      <c r="H6" s="16" t="s">
        <v>127</v>
      </c>
      <c r="I6" s="16"/>
      <c r="Q6" s="16"/>
      <c r="R6" s="16"/>
      <c r="S6" s="16">
        <v>2.5E8</v>
      </c>
      <c r="T6" s="16">
        <v>1.9E8</v>
      </c>
      <c r="U6" s="5">
        <v>186.0</v>
      </c>
      <c r="V6" s="5">
        <v>22.0</v>
      </c>
      <c r="W6" s="16">
        <v>1300000.0</v>
      </c>
      <c r="X6" s="16">
        <v>1000000.0</v>
      </c>
      <c r="Y6" s="5" t="s">
        <v>226</v>
      </c>
    </row>
    <row r="7" ht="14.25" customHeight="1">
      <c r="A7" s="5" t="s">
        <v>176</v>
      </c>
      <c r="B7" s="5" t="s">
        <v>219</v>
      </c>
      <c r="C7" s="5" t="s">
        <v>21</v>
      </c>
      <c r="E7" s="5" t="s">
        <v>227</v>
      </c>
      <c r="F7" s="5" t="s">
        <v>125</v>
      </c>
      <c r="G7" s="5" t="s">
        <v>177</v>
      </c>
      <c r="H7" s="16" t="s">
        <v>155</v>
      </c>
      <c r="I7" s="16"/>
      <c r="M7" s="5">
        <v>0.179</v>
      </c>
      <c r="N7" s="5">
        <v>0.035</v>
      </c>
      <c r="P7" s="5">
        <v>2.0E9</v>
      </c>
      <c r="Q7" s="16">
        <v>1.0E8</v>
      </c>
      <c r="R7" s="16"/>
      <c r="S7" s="16">
        <v>4.0E10</v>
      </c>
      <c r="T7" s="16">
        <v>9.9E9</v>
      </c>
      <c r="U7" s="5">
        <v>150.0</v>
      </c>
      <c r="V7" s="5">
        <v>20.0</v>
      </c>
      <c r="W7" s="16">
        <v>3.0E8</v>
      </c>
      <c r="X7" s="16">
        <v>5.5E7</v>
      </c>
      <c r="Y7" s="5" t="s">
        <v>228</v>
      </c>
      <c r="Z7" s="2"/>
    </row>
    <row r="8" ht="14.25" customHeight="1">
      <c r="A8" s="5" t="s">
        <v>229</v>
      </c>
      <c r="B8" s="5" t="s">
        <v>219</v>
      </c>
      <c r="C8" s="5" t="s">
        <v>72</v>
      </c>
      <c r="F8" s="5" t="s">
        <v>230</v>
      </c>
      <c r="H8" s="16" t="s">
        <v>155</v>
      </c>
      <c r="I8" s="16"/>
      <c r="J8" s="17"/>
      <c r="K8" s="17"/>
      <c r="L8" s="16"/>
      <c r="M8" s="17">
        <v>0.002</v>
      </c>
      <c r="N8" s="17">
        <v>2.0E-4</v>
      </c>
      <c r="P8" s="16">
        <v>700000.0</v>
      </c>
      <c r="Q8" s="16">
        <v>100000.0</v>
      </c>
      <c r="R8" s="16"/>
      <c r="S8" s="16">
        <v>4.0E7</v>
      </c>
      <c r="T8" s="16">
        <v>7900000.0</v>
      </c>
      <c r="U8" s="5">
        <v>28500.0</v>
      </c>
      <c r="V8" s="5">
        <v>3000.0</v>
      </c>
      <c r="W8" s="16">
        <v>1000.0</v>
      </c>
      <c r="X8" s="16">
        <v>200.0</v>
      </c>
      <c r="Y8" s="5" t="s">
        <v>231</v>
      </c>
    </row>
    <row r="9" ht="14.25" customHeight="1">
      <c r="A9" s="5" t="s">
        <v>232</v>
      </c>
      <c r="B9" s="5" t="s">
        <v>219</v>
      </c>
      <c r="C9" s="5" t="s">
        <v>16</v>
      </c>
      <c r="F9" s="5" t="s">
        <v>125</v>
      </c>
      <c r="H9" s="16" t="s">
        <v>155</v>
      </c>
      <c r="I9" s="16"/>
      <c r="J9" s="17"/>
      <c r="K9" s="17"/>
      <c r="L9" s="16"/>
      <c r="M9" s="17">
        <v>0.0081</v>
      </c>
      <c r="N9" s="17">
        <v>0.0038</v>
      </c>
      <c r="P9" s="16">
        <v>6.5E8</v>
      </c>
      <c r="Q9" s="16">
        <v>8.0E7</v>
      </c>
      <c r="R9" s="16"/>
      <c r="S9" s="16">
        <v>1.2E9</v>
      </c>
      <c r="T9" s="16">
        <v>5.9E8</v>
      </c>
      <c r="U9" s="5">
        <v>225.0</v>
      </c>
      <c r="V9" s="5">
        <v>30.0</v>
      </c>
      <c r="W9" s="16">
        <v>5300000.0</v>
      </c>
      <c r="X9" s="16">
        <v>3000000.0</v>
      </c>
      <c r="Y9" s="5" t="s">
        <v>233</v>
      </c>
    </row>
    <row r="10" ht="14.25" customHeight="1">
      <c r="A10" s="5" t="s">
        <v>234</v>
      </c>
      <c r="B10" s="5" t="s">
        <v>219</v>
      </c>
      <c r="C10" s="5" t="s">
        <v>37</v>
      </c>
      <c r="D10" s="5" t="s">
        <v>38</v>
      </c>
      <c r="F10" s="5" t="s">
        <v>125</v>
      </c>
      <c r="G10" s="5" t="s">
        <v>145</v>
      </c>
      <c r="H10" s="16" t="s">
        <v>127</v>
      </c>
      <c r="I10" s="16"/>
      <c r="J10" s="17"/>
      <c r="K10" s="17"/>
      <c r="M10" s="17">
        <v>0.0081</v>
      </c>
      <c r="N10" s="17">
        <v>0.001</v>
      </c>
      <c r="O10" s="16">
        <v>3.0E11</v>
      </c>
      <c r="P10" s="16"/>
      <c r="Q10" s="16"/>
      <c r="R10" s="16"/>
      <c r="S10" s="16">
        <v>2.0E9</v>
      </c>
      <c r="T10" s="16">
        <v>1.2E9</v>
      </c>
      <c r="U10" s="5">
        <f>Tissues!$D$20</f>
        <v>540</v>
      </c>
      <c r="W10" s="16">
        <f>S10/U10</f>
        <v>3703703.704</v>
      </c>
      <c r="X10" s="16">
        <f>T10/S10*W10</f>
        <v>2222222.222</v>
      </c>
      <c r="Y10" s="5" t="s">
        <v>235</v>
      </c>
    </row>
    <row r="11" ht="14.25" customHeight="1">
      <c r="A11" s="5" t="s">
        <v>236</v>
      </c>
      <c r="B11" s="5" t="s">
        <v>237</v>
      </c>
      <c r="C11" s="5" t="s">
        <v>15</v>
      </c>
      <c r="D11" s="5" t="s">
        <v>221</v>
      </c>
      <c r="F11" s="5" t="s">
        <v>125</v>
      </c>
      <c r="H11" s="5" t="s">
        <v>238</v>
      </c>
      <c r="M11" s="17">
        <v>0.01</v>
      </c>
      <c r="N11" s="17">
        <v>0.004</v>
      </c>
      <c r="O11" s="16">
        <v>1.0E12</v>
      </c>
      <c r="P11" s="16">
        <v>3.5E11</v>
      </c>
      <c r="S11" s="16">
        <v>9.8E9</v>
      </c>
      <c r="T11" s="16">
        <v>5.2E9</v>
      </c>
      <c r="U11" s="5">
        <v>1170.0</v>
      </c>
      <c r="W11" s="16">
        <v>8300000.0</v>
      </c>
      <c r="X11" s="16">
        <v>4500000.0</v>
      </c>
      <c r="Y11" s="5" t="s">
        <v>239</v>
      </c>
    </row>
    <row r="12" ht="14.25" customHeight="1">
      <c r="A12" s="5" t="s">
        <v>236</v>
      </c>
      <c r="B12" s="5" t="s">
        <v>237</v>
      </c>
      <c r="C12" s="5" t="s">
        <v>15</v>
      </c>
      <c r="D12" s="5" t="s">
        <v>240</v>
      </c>
      <c r="F12" s="5" t="s">
        <v>125</v>
      </c>
      <c r="H12" s="5" t="s">
        <v>238</v>
      </c>
      <c r="M12" s="17">
        <v>0.021</v>
      </c>
      <c r="N12" s="17">
        <v>0.007</v>
      </c>
      <c r="O12" s="16">
        <v>1.0E12</v>
      </c>
      <c r="P12" s="16">
        <v>3.5E11</v>
      </c>
      <c r="S12" s="16">
        <v>2.2E10</v>
      </c>
      <c r="T12" s="16">
        <v>1.1E10</v>
      </c>
      <c r="U12" s="5">
        <v>1170.0</v>
      </c>
      <c r="W12" s="16">
        <v>1.9E7</v>
      </c>
      <c r="X12" s="16">
        <v>9000000.0</v>
      </c>
      <c r="Y12" s="5" t="s">
        <v>239</v>
      </c>
    </row>
    <row r="13" ht="14.25" customHeight="1">
      <c r="A13" s="5" t="s">
        <v>241</v>
      </c>
      <c r="B13" s="5" t="s">
        <v>237</v>
      </c>
      <c r="C13" s="5" t="s">
        <v>15</v>
      </c>
      <c r="D13" s="5" t="s">
        <v>240</v>
      </c>
      <c r="F13" s="5" t="s">
        <v>125</v>
      </c>
      <c r="G13" s="5" t="s">
        <v>242</v>
      </c>
      <c r="H13" s="5" t="s">
        <v>243</v>
      </c>
      <c r="S13" s="16">
        <v>9.6E9</v>
      </c>
      <c r="T13" s="16">
        <v>2.8E9</v>
      </c>
      <c r="U13" s="5">
        <v>1170.0</v>
      </c>
      <c r="W13" s="16">
        <v>8200000.0</v>
      </c>
      <c r="X13" s="16">
        <v>2400000.0</v>
      </c>
    </row>
    <row r="14" ht="14.25" customHeight="1">
      <c r="A14" s="5" t="s">
        <v>241</v>
      </c>
      <c r="B14" s="5" t="s">
        <v>237</v>
      </c>
      <c r="C14" s="5" t="s">
        <v>11</v>
      </c>
      <c r="F14" s="5" t="s">
        <v>125</v>
      </c>
      <c r="H14" s="5" t="s">
        <v>244</v>
      </c>
      <c r="S14" s="16">
        <v>9.3E8</v>
      </c>
      <c r="T14" s="16">
        <v>2.0E8</v>
      </c>
      <c r="U14" s="5">
        <v>5200.0</v>
      </c>
      <c r="V14" s="5">
        <v>500.0</v>
      </c>
      <c r="W14" s="16">
        <v>180000.0</v>
      </c>
      <c r="X14" s="16">
        <v>33000.0</v>
      </c>
    </row>
    <row r="15" ht="14.25" customHeight="1">
      <c r="A15" s="5" t="s">
        <v>245</v>
      </c>
      <c r="B15" s="5" t="s">
        <v>237</v>
      </c>
      <c r="C15" s="5" t="s">
        <v>21</v>
      </c>
      <c r="F15" s="5" t="s">
        <v>125</v>
      </c>
      <c r="S15" s="16">
        <v>2.3E9</v>
      </c>
      <c r="T15" s="16">
        <v>7.8E8</v>
      </c>
      <c r="U15" s="5">
        <v>150.0</v>
      </c>
      <c r="V15" s="5">
        <v>20.0</v>
      </c>
      <c r="W15" s="16">
        <v>1.6E7</v>
      </c>
      <c r="X15" s="16">
        <v>4800000.0</v>
      </c>
    </row>
    <row r="16" ht="14.25" customHeight="1">
      <c r="A16" s="5" t="s">
        <v>246</v>
      </c>
      <c r="B16" s="5" t="s">
        <v>237</v>
      </c>
      <c r="C16" s="5" t="s">
        <v>22</v>
      </c>
      <c r="F16" s="5" t="s">
        <v>247</v>
      </c>
      <c r="H16" s="5" t="s">
        <v>155</v>
      </c>
      <c r="M16" s="17">
        <v>0.002</v>
      </c>
      <c r="Q16" s="16">
        <v>1.5E9</v>
      </c>
      <c r="R16" s="16">
        <v>1.0E8</v>
      </c>
      <c r="W16" s="16">
        <v>3000000.0</v>
      </c>
      <c r="X16" s="16">
        <v>200000.0</v>
      </c>
      <c r="Y16" s="5" t="s">
        <v>248</v>
      </c>
    </row>
    <row r="17" ht="14.25" customHeight="1">
      <c r="A17" s="5" t="s">
        <v>249</v>
      </c>
      <c r="B17" s="5" t="s">
        <v>237</v>
      </c>
      <c r="C17" s="5" t="s">
        <v>35</v>
      </c>
      <c r="D17" s="5" t="s">
        <v>32</v>
      </c>
      <c r="E17" s="5" t="s">
        <v>250</v>
      </c>
      <c r="F17" s="5" t="s">
        <v>125</v>
      </c>
      <c r="G17" s="5" t="s">
        <v>251</v>
      </c>
      <c r="H17" s="5" t="s">
        <v>127</v>
      </c>
      <c r="I17" s="5">
        <v>1000000.0</v>
      </c>
      <c r="J17" s="5">
        <v>5.0</v>
      </c>
      <c r="K17" s="5">
        <v>258.0</v>
      </c>
      <c r="L17" s="5">
        <v>26.0</v>
      </c>
      <c r="W17" s="16">
        <v>2.0E7</v>
      </c>
      <c r="X17" s="16">
        <v>2000000.0</v>
      </c>
    </row>
    <row r="18" ht="14.25" customHeight="1">
      <c r="A18" s="5" t="s">
        <v>252</v>
      </c>
      <c r="B18" s="5" t="s">
        <v>237</v>
      </c>
      <c r="C18" s="5" t="s">
        <v>29</v>
      </c>
      <c r="D18" s="5" t="s">
        <v>32</v>
      </c>
      <c r="F18" s="5" t="s">
        <v>125</v>
      </c>
      <c r="G18" s="5" t="s">
        <v>253</v>
      </c>
      <c r="H18" s="5" t="s">
        <v>127</v>
      </c>
      <c r="I18" s="5">
        <v>280000.0</v>
      </c>
      <c r="J18" s="5">
        <v>5.0</v>
      </c>
      <c r="K18" s="5">
        <v>2.0</v>
      </c>
      <c r="L18" s="5">
        <v>1.5</v>
      </c>
      <c r="W18" s="16">
        <v>500000.0</v>
      </c>
      <c r="X18" s="16">
        <v>400000.0</v>
      </c>
    </row>
    <row r="19" ht="14.25" customHeight="1">
      <c r="A19" s="5" t="s">
        <v>254</v>
      </c>
      <c r="B19" s="5" t="s">
        <v>237</v>
      </c>
      <c r="C19" s="5" t="s">
        <v>34</v>
      </c>
      <c r="D19" s="5" t="s">
        <v>32</v>
      </c>
      <c r="E19" s="5" t="s">
        <v>255</v>
      </c>
      <c r="F19" s="5" t="s">
        <v>125</v>
      </c>
      <c r="G19" s="5" t="s">
        <v>253</v>
      </c>
      <c r="H19" s="5" t="s">
        <v>127</v>
      </c>
      <c r="I19" s="5">
        <v>280000.0</v>
      </c>
      <c r="J19" s="5">
        <v>5.0</v>
      </c>
      <c r="K19" s="5">
        <v>9.6</v>
      </c>
      <c r="L19" s="5">
        <v>5.3</v>
      </c>
      <c r="W19" s="16">
        <v>2000000.0</v>
      </c>
      <c r="X19" s="16">
        <v>1000000.0</v>
      </c>
    </row>
    <row r="20" ht="14.25" customHeight="1">
      <c r="A20" s="5" t="s">
        <v>256</v>
      </c>
      <c r="B20" s="5" t="s">
        <v>237</v>
      </c>
      <c r="C20" s="5" t="s">
        <v>34</v>
      </c>
      <c r="D20" s="5" t="s">
        <v>32</v>
      </c>
      <c r="E20" s="5" t="s">
        <v>257</v>
      </c>
      <c r="F20" s="5" t="s">
        <v>125</v>
      </c>
      <c r="G20" s="5" t="s">
        <v>253</v>
      </c>
      <c r="H20" s="5" t="s">
        <v>127</v>
      </c>
      <c r="I20" s="5">
        <v>280000.0</v>
      </c>
      <c r="J20" s="5">
        <v>5.0</v>
      </c>
      <c r="K20" s="5">
        <v>12.4</v>
      </c>
      <c r="L20" s="5">
        <v>5.4</v>
      </c>
      <c r="W20" s="16">
        <v>3000000.0</v>
      </c>
      <c r="X20" s="16">
        <v>1000000.0</v>
      </c>
    </row>
    <row r="21" ht="14.25" customHeight="1">
      <c r="A21" s="5" t="s">
        <v>258</v>
      </c>
      <c r="B21" s="5" t="s">
        <v>237</v>
      </c>
      <c r="C21" s="5" t="s">
        <v>35</v>
      </c>
      <c r="D21" s="5" t="s">
        <v>32</v>
      </c>
      <c r="E21" s="5" t="s">
        <v>35</v>
      </c>
      <c r="F21" s="5" t="s">
        <v>125</v>
      </c>
      <c r="G21" s="5" t="s">
        <v>253</v>
      </c>
      <c r="H21" s="5" t="s">
        <v>127</v>
      </c>
      <c r="I21" s="5">
        <v>280000.0</v>
      </c>
      <c r="J21" s="5">
        <v>5.0</v>
      </c>
      <c r="K21" s="5">
        <v>18.3</v>
      </c>
      <c r="L21" s="5">
        <v>7.5</v>
      </c>
      <c r="W21" s="16">
        <v>4000000.0</v>
      </c>
      <c r="X21" s="16">
        <v>2000000.0</v>
      </c>
    </row>
    <row r="22" ht="14.25" customHeight="1">
      <c r="A22" s="5" t="s">
        <v>259</v>
      </c>
      <c r="B22" s="5" t="s">
        <v>237</v>
      </c>
      <c r="C22" s="5" t="s">
        <v>35</v>
      </c>
      <c r="D22" s="5" t="s">
        <v>32</v>
      </c>
      <c r="E22" s="5" t="s">
        <v>185</v>
      </c>
      <c r="F22" s="5" t="s">
        <v>125</v>
      </c>
      <c r="G22" s="5" t="s">
        <v>253</v>
      </c>
      <c r="H22" s="5" t="s">
        <v>127</v>
      </c>
      <c r="I22" s="5">
        <v>280000.0</v>
      </c>
      <c r="J22" s="5">
        <v>5.0</v>
      </c>
      <c r="K22" s="5">
        <v>8.3</v>
      </c>
      <c r="L22" s="5">
        <v>5.9</v>
      </c>
      <c r="W22" s="16">
        <v>2000000.0</v>
      </c>
      <c r="X22" s="16">
        <v>1000000.0</v>
      </c>
    </row>
    <row r="23" ht="14.25" customHeight="1">
      <c r="A23" s="5" t="s">
        <v>260</v>
      </c>
      <c r="B23" s="5" t="s">
        <v>237</v>
      </c>
      <c r="C23" s="5" t="s">
        <v>37</v>
      </c>
      <c r="D23" s="5" t="s">
        <v>38</v>
      </c>
      <c r="F23" s="5" t="s">
        <v>125</v>
      </c>
      <c r="H23" s="5" t="s">
        <v>261</v>
      </c>
      <c r="M23" s="18">
        <v>0.25</v>
      </c>
      <c r="N23" s="18">
        <v>0.1</v>
      </c>
      <c r="O23" s="16">
        <v>4.6E9</v>
      </c>
      <c r="S23" s="16">
        <v>1.2E9</v>
      </c>
      <c r="T23" s="16">
        <v>4.6E8</v>
      </c>
      <c r="U23" s="5">
        <f>Tissues!$D$20</f>
        <v>540</v>
      </c>
      <c r="W23" s="16">
        <f>S23/U23</f>
        <v>2222222.222</v>
      </c>
      <c r="X23" s="19">
        <f>T23/S23*W23</f>
        <v>851851.8519</v>
      </c>
      <c r="Y23" s="5" t="s">
        <v>262</v>
      </c>
    </row>
    <row r="24" ht="14.25" customHeight="1">
      <c r="A24" s="5" t="s">
        <v>263</v>
      </c>
      <c r="B24" s="5" t="s">
        <v>237</v>
      </c>
      <c r="C24" s="5" t="s">
        <v>223</v>
      </c>
      <c r="F24" s="5" t="s">
        <v>125</v>
      </c>
      <c r="W24" s="16">
        <v>0.0</v>
      </c>
      <c r="X24" s="16">
        <v>0.0</v>
      </c>
    </row>
    <row r="25" ht="14.25" customHeight="1">
      <c r="A25" s="5" t="s">
        <v>264</v>
      </c>
      <c r="B25" s="5" t="s">
        <v>265</v>
      </c>
      <c r="C25" s="5" t="s">
        <v>35</v>
      </c>
      <c r="D25" s="5" t="s">
        <v>32</v>
      </c>
      <c r="F25" s="5" t="s">
        <v>125</v>
      </c>
      <c r="G25" s="5" t="s">
        <v>266</v>
      </c>
      <c r="H25" s="5" t="s">
        <v>267</v>
      </c>
      <c r="I25" s="16">
        <v>300000.0</v>
      </c>
      <c r="J25" s="5">
        <v>5.0</v>
      </c>
      <c r="K25" s="5">
        <v>16.0</v>
      </c>
      <c r="L25" s="5">
        <v>7.0</v>
      </c>
      <c r="W25" s="16">
        <v>4000000.0</v>
      </c>
      <c r="X25" s="16">
        <v>2000000.0</v>
      </c>
      <c r="Y25" s="5" t="s">
        <v>268</v>
      </c>
    </row>
    <row r="26" ht="14.25" customHeight="1">
      <c r="A26" s="5" t="s">
        <v>249</v>
      </c>
      <c r="B26" s="5" t="s">
        <v>265</v>
      </c>
      <c r="C26" s="5" t="s">
        <v>35</v>
      </c>
      <c r="D26" s="5" t="s">
        <v>32</v>
      </c>
      <c r="F26" s="5" t="s">
        <v>125</v>
      </c>
      <c r="G26" s="5" t="s">
        <v>269</v>
      </c>
      <c r="H26" s="5" t="s">
        <v>267</v>
      </c>
      <c r="I26" s="16">
        <v>1000000.0</v>
      </c>
      <c r="J26" s="5">
        <v>5.0</v>
      </c>
      <c r="K26" s="5">
        <v>206.0</v>
      </c>
      <c r="L26" s="5">
        <v>18.0</v>
      </c>
      <c r="W26" s="16">
        <v>1.0E7</v>
      </c>
      <c r="X26" s="16">
        <v>1000000.0</v>
      </c>
    </row>
    <row r="27" ht="14.25" customHeight="1">
      <c r="A27" s="5" t="s">
        <v>249</v>
      </c>
      <c r="B27" s="5" t="s">
        <v>265</v>
      </c>
      <c r="C27" s="5" t="s">
        <v>34</v>
      </c>
      <c r="D27" s="5" t="s">
        <v>32</v>
      </c>
      <c r="F27" s="5" t="s">
        <v>125</v>
      </c>
      <c r="G27" s="5" t="s">
        <v>269</v>
      </c>
      <c r="H27" s="5" t="s">
        <v>267</v>
      </c>
      <c r="I27" s="16">
        <v>1000000.0</v>
      </c>
      <c r="J27" s="5">
        <v>5.0</v>
      </c>
      <c r="K27" s="5">
        <v>206.0</v>
      </c>
      <c r="L27" s="5">
        <v>18.0</v>
      </c>
      <c r="W27" s="16">
        <v>1.0E7</v>
      </c>
      <c r="X27" s="16">
        <v>1000000.0</v>
      </c>
    </row>
    <row r="28" ht="14.25" customHeight="1">
      <c r="A28" s="5" t="s">
        <v>260</v>
      </c>
      <c r="B28" s="5" t="s">
        <v>265</v>
      </c>
      <c r="C28" s="5" t="s">
        <v>37</v>
      </c>
      <c r="D28" s="5" t="s">
        <v>38</v>
      </c>
      <c r="E28" s="5" t="s">
        <v>270</v>
      </c>
      <c r="F28" s="5" t="s">
        <v>125</v>
      </c>
      <c r="H28" s="5" t="s">
        <v>271</v>
      </c>
      <c r="S28" s="16">
        <v>3.0E9</v>
      </c>
      <c r="U28" s="5">
        <v>500.0</v>
      </c>
      <c r="W28" s="16">
        <v>6000000.0</v>
      </c>
    </row>
    <row r="29" ht="14.25" customHeight="1">
      <c r="A29" s="5" t="s">
        <v>272</v>
      </c>
      <c r="B29" s="5" t="s">
        <v>265</v>
      </c>
      <c r="C29" s="5" t="s">
        <v>46</v>
      </c>
      <c r="D29" s="5" t="s">
        <v>48</v>
      </c>
      <c r="E29" s="5" t="s">
        <v>273</v>
      </c>
      <c r="F29" s="5" t="s">
        <v>247</v>
      </c>
      <c r="H29" s="5" t="s">
        <v>267</v>
      </c>
      <c r="I29" s="16">
        <v>100000.0</v>
      </c>
      <c r="J29" s="5">
        <v>5.0</v>
      </c>
      <c r="K29" s="5">
        <v>11.0</v>
      </c>
      <c r="L29" s="5">
        <v>2.5</v>
      </c>
      <c r="W29" s="16">
        <v>7000000.0</v>
      </c>
      <c r="X29" s="16">
        <v>2000000.0</v>
      </c>
      <c r="Y29" s="5" t="s">
        <v>274</v>
      </c>
    </row>
    <row r="30" ht="14.25" customHeight="1">
      <c r="A30" s="5" t="s">
        <v>275</v>
      </c>
      <c r="B30" s="5" t="s">
        <v>265</v>
      </c>
      <c r="C30" s="5" t="s">
        <v>66</v>
      </c>
      <c r="E30" s="5" t="s">
        <v>276</v>
      </c>
      <c r="F30" s="5" t="s">
        <v>125</v>
      </c>
      <c r="G30" s="5" t="s">
        <v>277</v>
      </c>
      <c r="H30" s="5" t="s">
        <v>267</v>
      </c>
      <c r="I30" s="16">
        <v>1000000.0</v>
      </c>
      <c r="J30" s="5">
        <v>5.0</v>
      </c>
      <c r="K30" s="5">
        <v>98.0</v>
      </c>
      <c r="L30" s="5">
        <v>6.0</v>
      </c>
      <c r="W30" s="16">
        <v>7000000.0</v>
      </c>
      <c r="X30" s="16">
        <v>400000.0</v>
      </c>
    </row>
    <row r="31" ht="14.25" customHeight="1">
      <c r="A31" s="5" t="s">
        <v>278</v>
      </c>
      <c r="B31" s="5" t="s">
        <v>265</v>
      </c>
      <c r="C31" s="5" t="s">
        <v>61</v>
      </c>
      <c r="E31" s="5" t="s">
        <v>279</v>
      </c>
      <c r="F31" s="5" t="s">
        <v>125</v>
      </c>
      <c r="G31" s="5" t="s">
        <v>277</v>
      </c>
      <c r="H31" s="5" t="s">
        <v>267</v>
      </c>
      <c r="I31" s="16">
        <v>1000000.0</v>
      </c>
      <c r="J31" s="5">
        <v>5.0</v>
      </c>
      <c r="K31" s="5">
        <v>27.0</v>
      </c>
      <c r="L31" s="5">
        <v>9.0</v>
      </c>
      <c r="W31" s="16">
        <v>2000000.0</v>
      </c>
      <c r="X31" s="16">
        <v>600000.0</v>
      </c>
    </row>
    <row r="32" ht="14.25" customHeight="1">
      <c r="A32" s="5" t="s">
        <v>278</v>
      </c>
      <c r="B32" s="5" t="s">
        <v>265</v>
      </c>
      <c r="C32" s="5" t="s">
        <v>53</v>
      </c>
      <c r="E32" s="5" t="s">
        <v>280</v>
      </c>
      <c r="F32" s="5" t="s">
        <v>125</v>
      </c>
      <c r="G32" s="5" t="s">
        <v>277</v>
      </c>
      <c r="H32" s="5" t="s">
        <v>267</v>
      </c>
      <c r="I32" s="16">
        <v>1000000.0</v>
      </c>
      <c r="J32" s="5">
        <v>5.0</v>
      </c>
      <c r="K32" s="5">
        <v>155.0</v>
      </c>
      <c r="L32" s="5">
        <v>21.0</v>
      </c>
      <c r="W32" s="16">
        <v>1.0E7</v>
      </c>
      <c r="X32" s="16">
        <v>1000000.0</v>
      </c>
    </row>
    <row r="33" ht="14.25" customHeight="1">
      <c r="A33" s="5" t="s">
        <v>281</v>
      </c>
      <c r="B33" s="5" t="s">
        <v>265</v>
      </c>
      <c r="C33" s="5" t="s">
        <v>61</v>
      </c>
      <c r="E33" s="5" t="s">
        <v>282</v>
      </c>
      <c r="F33" s="5" t="s">
        <v>125</v>
      </c>
      <c r="G33" s="5" t="s">
        <v>145</v>
      </c>
      <c r="H33" s="5" t="s">
        <v>267</v>
      </c>
      <c r="I33" s="16">
        <v>1000000.0</v>
      </c>
      <c r="J33" s="5">
        <v>3.0</v>
      </c>
      <c r="K33" s="5">
        <v>160.0</v>
      </c>
      <c r="L33" s="5">
        <v>48.0</v>
      </c>
      <c r="W33" s="16">
        <v>1.0E7</v>
      </c>
      <c r="X33" s="16">
        <v>4000000.0</v>
      </c>
    </row>
    <row r="34" ht="14.25" customHeight="1">
      <c r="A34" s="5" t="s">
        <v>281</v>
      </c>
      <c r="B34" s="5" t="s">
        <v>265</v>
      </c>
      <c r="C34" s="5" t="s">
        <v>53</v>
      </c>
      <c r="E34" s="5" t="s">
        <v>283</v>
      </c>
      <c r="F34" s="5" t="s">
        <v>125</v>
      </c>
      <c r="G34" s="5" t="s">
        <v>145</v>
      </c>
      <c r="H34" s="5" t="s">
        <v>267</v>
      </c>
      <c r="I34" s="16">
        <v>1000000.0</v>
      </c>
      <c r="J34" s="5">
        <v>3.0</v>
      </c>
      <c r="K34" s="5">
        <v>307.0</v>
      </c>
      <c r="L34" s="5">
        <v>20.0</v>
      </c>
      <c r="W34" s="16">
        <v>2.0E7</v>
      </c>
      <c r="X34" s="16">
        <v>2000000.0</v>
      </c>
    </row>
    <row r="35" ht="14.25" customHeight="1">
      <c r="A35" s="5" t="s">
        <v>281</v>
      </c>
      <c r="B35" s="5" t="s">
        <v>265</v>
      </c>
      <c r="C35" s="5" t="s">
        <v>37</v>
      </c>
      <c r="D35" s="5" t="s">
        <v>38</v>
      </c>
      <c r="E35" s="5" t="s">
        <v>270</v>
      </c>
      <c r="F35" s="5" t="s">
        <v>125</v>
      </c>
      <c r="G35" s="5" t="s">
        <v>145</v>
      </c>
      <c r="H35" s="5" t="s">
        <v>267</v>
      </c>
      <c r="I35" s="16">
        <v>1000000.0</v>
      </c>
      <c r="J35" s="5">
        <v>3.0</v>
      </c>
      <c r="K35" s="5">
        <v>398.0</v>
      </c>
      <c r="L35" s="5">
        <v>73.0</v>
      </c>
      <c r="W35" s="16">
        <v>3.0E7</v>
      </c>
      <c r="X35" s="16">
        <v>6000000.0</v>
      </c>
    </row>
    <row r="36" ht="14.25" customHeight="1">
      <c r="A36" s="5" t="s">
        <v>281</v>
      </c>
      <c r="B36" s="5" t="s">
        <v>265</v>
      </c>
      <c r="C36" s="5" t="s">
        <v>37</v>
      </c>
      <c r="D36" s="5" t="s">
        <v>39</v>
      </c>
      <c r="E36" s="5" t="s">
        <v>284</v>
      </c>
      <c r="F36" s="5" t="s">
        <v>125</v>
      </c>
      <c r="G36" s="5" t="s">
        <v>145</v>
      </c>
      <c r="H36" s="5" t="s">
        <v>267</v>
      </c>
      <c r="I36" s="16">
        <v>1000000.0</v>
      </c>
      <c r="J36" s="5">
        <v>3.0</v>
      </c>
      <c r="K36" s="5">
        <v>227.0</v>
      </c>
      <c r="L36" s="5">
        <v>61.0</v>
      </c>
      <c r="W36" s="16">
        <v>2.0E7</v>
      </c>
      <c r="X36" s="16">
        <v>5000000.0</v>
      </c>
    </row>
    <row r="37" ht="14.25" customHeight="1">
      <c r="A37" s="5" t="s">
        <v>285</v>
      </c>
      <c r="B37" s="5" t="s">
        <v>265</v>
      </c>
      <c r="C37" s="5" t="s">
        <v>29</v>
      </c>
      <c r="D37" s="5" t="s">
        <v>32</v>
      </c>
      <c r="E37" s="5" t="s">
        <v>286</v>
      </c>
      <c r="F37" s="5" t="s">
        <v>125</v>
      </c>
      <c r="G37" s="5" t="s">
        <v>287</v>
      </c>
      <c r="H37" s="5" t="s">
        <v>267</v>
      </c>
      <c r="I37" s="5">
        <v>30000.0</v>
      </c>
      <c r="J37" s="5">
        <v>3.5</v>
      </c>
      <c r="K37" s="5">
        <v>21.0</v>
      </c>
      <c r="W37" s="16">
        <v>5.0E7</v>
      </c>
      <c r="Y37" s="5" t="s">
        <v>288</v>
      </c>
    </row>
    <row r="38" ht="14.25" customHeight="1">
      <c r="A38" s="5" t="s">
        <v>289</v>
      </c>
      <c r="B38" s="5" t="s">
        <v>265</v>
      </c>
      <c r="C38" s="5" t="s">
        <v>74</v>
      </c>
      <c r="E38" s="5" t="s">
        <v>290</v>
      </c>
      <c r="F38" s="5" t="s">
        <v>125</v>
      </c>
      <c r="G38" s="5" t="s">
        <v>291</v>
      </c>
      <c r="H38" s="5" t="s">
        <v>267</v>
      </c>
      <c r="I38" s="16">
        <v>1000000.0</v>
      </c>
      <c r="J38" s="5">
        <v>5.0</v>
      </c>
      <c r="K38" s="5">
        <v>7.0</v>
      </c>
      <c r="L38" s="5">
        <v>5.0</v>
      </c>
      <c r="W38" s="16">
        <v>500000.0</v>
      </c>
      <c r="X38" s="16">
        <v>300000.0</v>
      </c>
      <c r="Y38" s="5" t="s">
        <v>292</v>
      </c>
    </row>
    <row r="39" ht="14.25" customHeight="1">
      <c r="A39" s="5" t="s">
        <v>293</v>
      </c>
      <c r="B39" s="5" t="s">
        <v>265</v>
      </c>
      <c r="C39" s="5" t="s">
        <v>46</v>
      </c>
      <c r="D39" s="5" t="s">
        <v>48</v>
      </c>
      <c r="E39" s="5" t="s">
        <v>294</v>
      </c>
      <c r="F39" s="5" t="s">
        <v>125</v>
      </c>
      <c r="H39" s="5" t="s">
        <v>267</v>
      </c>
      <c r="W39" s="16">
        <v>3000000.0</v>
      </c>
      <c r="X39" s="16">
        <v>100000.0</v>
      </c>
      <c r="Y39" s="5" t="s">
        <v>295</v>
      </c>
    </row>
    <row r="40" ht="14.25" customHeight="1">
      <c r="A40" s="5" t="s">
        <v>293</v>
      </c>
      <c r="B40" s="5" t="s">
        <v>265</v>
      </c>
      <c r="C40" s="5" t="s">
        <v>53</v>
      </c>
      <c r="E40" s="5" t="s">
        <v>296</v>
      </c>
      <c r="F40" s="5" t="s">
        <v>125</v>
      </c>
      <c r="H40" s="5" t="s">
        <v>267</v>
      </c>
      <c r="W40" s="16">
        <v>8000000.0</v>
      </c>
      <c r="X40" s="16">
        <v>5000000.0</v>
      </c>
      <c r="Y40" s="5" t="s">
        <v>295</v>
      </c>
    </row>
    <row r="41" ht="14.25" customHeight="1">
      <c r="A41" s="5" t="s">
        <v>293</v>
      </c>
      <c r="B41" s="5" t="s">
        <v>265</v>
      </c>
      <c r="C41" s="5" t="s">
        <v>53</v>
      </c>
      <c r="E41" s="5" t="s">
        <v>297</v>
      </c>
      <c r="F41" s="5" t="s">
        <v>125</v>
      </c>
      <c r="H41" s="5" t="s">
        <v>267</v>
      </c>
      <c r="W41" s="16">
        <v>2.0E7</v>
      </c>
      <c r="X41" s="16">
        <v>3000000.0</v>
      </c>
      <c r="Y41" s="5" t="s">
        <v>295</v>
      </c>
    </row>
    <row r="42" ht="14.25" customHeight="1">
      <c r="A42" s="5" t="s">
        <v>293</v>
      </c>
      <c r="B42" s="5" t="s">
        <v>265</v>
      </c>
      <c r="C42" s="5" t="s">
        <v>37</v>
      </c>
      <c r="D42" s="5" t="s">
        <v>38</v>
      </c>
      <c r="E42" s="5" t="s">
        <v>298</v>
      </c>
      <c r="F42" s="5" t="s">
        <v>125</v>
      </c>
      <c r="H42" s="5" t="s">
        <v>267</v>
      </c>
      <c r="W42" s="16">
        <v>3.0E7</v>
      </c>
      <c r="X42" s="16">
        <v>1.0E7</v>
      </c>
      <c r="Y42" s="5" t="s">
        <v>295</v>
      </c>
    </row>
    <row r="43" ht="14.25" customHeight="1">
      <c r="A43" s="5" t="s">
        <v>293</v>
      </c>
      <c r="B43" s="5" t="s">
        <v>265</v>
      </c>
      <c r="C43" s="5" t="s">
        <v>34</v>
      </c>
      <c r="D43" s="5" t="s">
        <v>32</v>
      </c>
      <c r="E43" s="5" t="s">
        <v>299</v>
      </c>
      <c r="F43" s="5" t="s">
        <v>125</v>
      </c>
      <c r="H43" s="5" t="s">
        <v>267</v>
      </c>
      <c r="W43" s="16">
        <v>2.0E7</v>
      </c>
      <c r="X43" s="16">
        <v>3000000.0</v>
      </c>
      <c r="Y43" s="5" t="s">
        <v>295</v>
      </c>
    </row>
    <row r="44" ht="14.25" customHeight="1">
      <c r="A44" s="5" t="s">
        <v>293</v>
      </c>
      <c r="B44" s="5" t="s">
        <v>265</v>
      </c>
      <c r="C44" s="5" t="s">
        <v>34</v>
      </c>
      <c r="D44" s="5" t="s">
        <v>33</v>
      </c>
      <c r="E44" s="5" t="s">
        <v>300</v>
      </c>
      <c r="F44" s="5" t="s">
        <v>125</v>
      </c>
      <c r="H44" s="5" t="s">
        <v>267</v>
      </c>
      <c r="W44" s="16">
        <v>9000000.0</v>
      </c>
      <c r="X44" s="16">
        <v>2000000.0</v>
      </c>
      <c r="Y44" s="5" t="s">
        <v>295</v>
      </c>
    </row>
    <row r="45" ht="14.25" customHeight="1">
      <c r="A45" s="5" t="s">
        <v>301</v>
      </c>
      <c r="B45" s="5" t="s">
        <v>265</v>
      </c>
      <c r="C45" s="5" t="s">
        <v>35</v>
      </c>
      <c r="D45" s="5" t="s">
        <v>32</v>
      </c>
      <c r="E45" s="5" t="s">
        <v>302</v>
      </c>
      <c r="F45" s="5" t="s">
        <v>125</v>
      </c>
      <c r="H45" s="5" t="s">
        <v>267</v>
      </c>
      <c r="I45" s="5">
        <v>30000.0</v>
      </c>
      <c r="J45" s="5">
        <v>6.0</v>
      </c>
      <c r="K45" s="5">
        <v>1.7</v>
      </c>
      <c r="L45" s="5">
        <v>0.3</v>
      </c>
      <c r="W45" s="16">
        <v>4000000.0</v>
      </c>
      <c r="X45" s="16">
        <v>600000.0</v>
      </c>
      <c r="Y45" s="5" t="s">
        <v>303</v>
      </c>
    </row>
    <row r="46" ht="14.25" customHeight="1">
      <c r="A46" s="5" t="s">
        <v>301</v>
      </c>
      <c r="B46" s="5" t="s">
        <v>265</v>
      </c>
      <c r="C46" s="5" t="s">
        <v>35</v>
      </c>
      <c r="D46" s="5" t="s">
        <v>33</v>
      </c>
      <c r="E46" s="5" t="s">
        <v>302</v>
      </c>
      <c r="F46" s="5" t="s">
        <v>125</v>
      </c>
      <c r="H46" s="5" t="s">
        <v>267</v>
      </c>
      <c r="I46" s="5">
        <v>30000.0</v>
      </c>
      <c r="J46" s="5">
        <v>6.0</v>
      </c>
      <c r="K46" s="5">
        <v>1.7</v>
      </c>
      <c r="L46" s="5">
        <v>0.3</v>
      </c>
      <c r="W46" s="16">
        <v>4000000.0</v>
      </c>
      <c r="X46" s="16">
        <v>600000.0</v>
      </c>
      <c r="Y46" s="5" t="s">
        <v>303</v>
      </c>
    </row>
    <row r="47" ht="14.25" customHeight="1">
      <c r="A47" s="5" t="s">
        <v>304</v>
      </c>
      <c r="B47" s="5" t="s">
        <v>265</v>
      </c>
      <c r="C47" s="5" t="s">
        <v>66</v>
      </c>
      <c r="E47" s="5" t="s">
        <v>305</v>
      </c>
      <c r="F47" s="5" t="s">
        <v>125</v>
      </c>
      <c r="G47" s="5" t="s">
        <v>287</v>
      </c>
      <c r="H47" s="5" t="s">
        <v>267</v>
      </c>
      <c r="I47" s="16">
        <v>1000000.0</v>
      </c>
      <c r="J47" s="5">
        <v>2.0</v>
      </c>
      <c r="K47" s="5">
        <v>33.2</v>
      </c>
      <c r="W47" s="16">
        <v>3000000.0</v>
      </c>
      <c r="Y47" s="5" t="s">
        <v>306</v>
      </c>
    </row>
    <row r="48" ht="14.25" customHeight="1">
      <c r="A48" s="5" t="s">
        <v>307</v>
      </c>
      <c r="B48" s="5" t="s">
        <v>265</v>
      </c>
      <c r="C48" s="5" t="s">
        <v>308</v>
      </c>
      <c r="D48" s="5" t="s">
        <v>309</v>
      </c>
      <c r="E48" s="5" t="s">
        <v>310</v>
      </c>
      <c r="F48" s="5" t="s">
        <v>125</v>
      </c>
      <c r="G48" s="5" t="s">
        <v>311</v>
      </c>
      <c r="I48" s="16">
        <v>1000000.0</v>
      </c>
      <c r="J48" s="5">
        <v>3.0</v>
      </c>
      <c r="K48" s="5">
        <v>280.0</v>
      </c>
      <c r="L48" s="5">
        <v>140.0</v>
      </c>
      <c r="W48" s="16">
        <v>2.0E7</v>
      </c>
      <c r="X48" s="16">
        <v>1.0E7</v>
      </c>
    </row>
    <row r="49" ht="14.25" customHeight="1">
      <c r="A49" s="5" t="s">
        <v>312</v>
      </c>
      <c r="B49" s="5" t="s">
        <v>265</v>
      </c>
      <c r="C49" s="5" t="s">
        <v>77</v>
      </c>
      <c r="E49" s="5" t="s">
        <v>313</v>
      </c>
      <c r="F49" s="5" t="s">
        <v>125</v>
      </c>
      <c r="G49" s="5" t="s">
        <v>314</v>
      </c>
      <c r="H49" s="5" t="s">
        <v>315</v>
      </c>
      <c r="W49" s="16">
        <v>20000.0</v>
      </c>
      <c r="X49" s="16">
        <v>10000.0</v>
      </c>
      <c r="Y49" s="5" t="s">
        <v>316</v>
      </c>
    </row>
    <row r="50" ht="14.25" customHeight="1">
      <c r="A50" s="5" t="s">
        <v>312</v>
      </c>
      <c r="B50" s="5" t="s">
        <v>265</v>
      </c>
      <c r="C50" s="5" t="s">
        <v>77</v>
      </c>
      <c r="E50" s="5" t="s">
        <v>317</v>
      </c>
      <c r="F50" s="5" t="s">
        <v>125</v>
      </c>
      <c r="G50" s="5" t="s">
        <v>314</v>
      </c>
      <c r="H50" s="5" t="s">
        <v>315</v>
      </c>
      <c r="W50" s="16">
        <v>20000.0</v>
      </c>
      <c r="X50" s="16">
        <v>10000.0</v>
      </c>
      <c r="Y50" s="5" t="s">
        <v>316</v>
      </c>
    </row>
    <row r="51" ht="14.25" customHeight="1">
      <c r="A51" s="5" t="s">
        <v>318</v>
      </c>
      <c r="B51" s="5" t="s">
        <v>265</v>
      </c>
      <c r="C51" s="5" t="s">
        <v>46</v>
      </c>
      <c r="D51" s="5" t="s">
        <v>48</v>
      </c>
      <c r="F51" s="5" t="s">
        <v>125</v>
      </c>
      <c r="G51" s="5" t="s">
        <v>145</v>
      </c>
      <c r="H51" s="5" t="s">
        <v>267</v>
      </c>
      <c r="J51" s="5">
        <v>25.0</v>
      </c>
      <c r="W51" s="16">
        <v>7000000.0</v>
      </c>
      <c r="X51" s="16">
        <v>800000.0</v>
      </c>
      <c r="Y51" s="5" t="s">
        <v>319</v>
      </c>
    </row>
    <row r="52" ht="14.25" customHeight="1">
      <c r="A52" s="5" t="s">
        <v>320</v>
      </c>
      <c r="B52" s="5" t="s">
        <v>265</v>
      </c>
      <c r="C52" s="5" t="s">
        <v>46</v>
      </c>
      <c r="D52" s="5" t="s">
        <v>48</v>
      </c>
      <c r="E52" s="5" t="s">
        <v>321</v>
      </c>
      <c r="F52" s="5" t="s">
        <v>125</v>
      </c>
      <c r="G52" s="5" t="s">
        <v>145</v>
      </c>
      <c r="H52" s="5" t="s">
        <v>267</v>
      </c>
      <c r="I52" s="16">
        <v>1000000.0</v>
      </c>
      <c r="J52" s="5">
        <v>4.0</v>
      </c>
      <c r="K52" s="5">
        <v>92.5</v>
      </c>
      <c r="L52" s="5">
        <v>21.9</v>
      </c>
      <c r="W52" s="16">
        <v>7000000.0</v>
      </c>
      <c r="X52" s="16">
        <v>2000000.0</v>
      </c>
      <c r="Y52" s="5" t="s">
        <v>322</v>
      </c>
    </row>
    <row r="53" ht="14.25" customHeight="1">
      <c r="A53" s="5" t="s">
        <v>323</v>
      </c>
      <c r="B53" s="5" t="s">
        <v>265</v>
      </c>
      <c r="C53" s="5" t="s">
        <v>13</v>
      </c>
      <c r="F53" s="5" t="s">
        <v>125</v>
      </c>
      <c r="G53" s="5" t="s">
        <v>145</v>
      </c>
      <c r="H53" s="5" t="s">
        <v>324</v>
      </c>
      <c r="M53" s="17">
        <v>0.001</v>
      </c>
      <c r="N53" s="17">
        <v>5.0E-4</v>
      </c>
      <c r="O53" s="16">
        <v>1.0E12</v>
      </c>
      <c r="P53" s="16">
        <v>4.0E11</v>
      </c>
      <c r="S53" s="16">
        <f t="shared" ref="S53:S55" si="1">M53*O53</f>
        <v>1000000000</v>
      </c>
      <c r="T53" s="16">
        <f t="shared" ref="T53:T55" si="2">SQRT(SUMSQ(P53*M53,N53*O53))</f>
        <v>640312423.7</v>
      </c>
      <c r="U53" s="5">
        <v>1170.0</v>
      </c>
      <c r="V53" s="2"/>
      <c r="W53" s="16">
        <f t="shared" ref="W53:W55" si="3">S53/U53</f>
        <v>854700.8547</v>
      </c>
      <c r="X53" s="16">
        <f t="shared" ref="X53:X55" si="4">T53/S53*W53</f>
        <v>547275.5758</v>
      </c>
      <c r="Y53" s="5" t="s">
        <v>325</v>
      </c>
    </row>
    <row r="54" ht="14.25" customHeight="1">
      <c r="A54" s="5" t="s">
        <v>323</v>
      </c>
      <c r="B54" s="5" t="s">
        <v>326</v>
      </c>
      <c r="C54" s="5" t="s">
        <v>13</v>
      </c>
      <c r="F54" s="5" t="s">
        <v>125</v>
      </c>
      <c r="G54" s="5" t="s">
        <v>145</v>
      </c>
      <c r="H54" s="5" t="s">
        <v>324</v>
      </c>
      <c r="M54" s="17">
        <v>0.001</v>
      </c>
      <c r="N54" s="17">
        <v>5.0E-4</v>
      </c>
      <c r="O54" s="16">
        <v>1.0E12</v>
      </c>
      <c r="P54" s="16">
        <v>4.0E11</v>
      </c>
      <c r="S54" s="16">
        <f t="shared" si="1"/>
        <v>1000000000</v>
      </c>
      <c r="T54" s="16">
        <f t="shared" si="2"/>
        <v>640312423.7</v>
      </c>
      <c r="U54" s="5">
        <v>1170.0</v>
      </c>
      <c r="V54" s="2"/>
      <c r="W54" s="16">
        <f t="shared" si="3"/>
        <v>854700.8547</v>
      </c>
      <c r="X54" s="16">
        <f t="shared" si="4"/>
        <v>547275.5758</v>
      </c>
      <c r="Y54" s="5" t="s">
        <v>325</v>
      </c>
    </row>
    <row r="55" ht="14.25" customHeight="1">
      <c r="A55" s="5" t="s">
        <v>327</v>
      </c>
      <c r="B55" s="5" t="s">
        <v>326</v>
      </c>
      <c r="C55" s="5" t="s">
        <v>13</v>
      </c>
      <c r="F55" s="5" t="s">
        <v>125</v>
      </c>
      <c r="G55" s="5" t="s">
        <v>145</v>
      </c>
      <c r="H55" s="5" t="s">
        <v>328</v>
      </c>
      <c r="M55" s="17">
        <v>0.003</v>
      </c>
      <c r="N55" s="17">
        <v>3.0E-4</v>
      </c>
      <c r="O55" s="16">
        <v>1.0E12</v>
      </c>
      <c r="P55" s="16">
        <v>4.0E11</v>
      </c>
      <c r="S55" s="16">
        <f t="shared" si="1"/>
        <v>3000000000</v>
      </c>
      <c r="T55" s="16">
        <f t="shared" si="2"/>
        <v>1236931688</v>
      </c>
      <c r="U55" s="5">
        <v>1170.0</v>
      </c>
      <c r="W55" s="16">
        <f t="shared" si="3"/>
        <v>2564102.564</v>
      </c>
      <c r="X55" s="16">
        <f t="shared" si="4"/>
        <v>1057206.571</v>
      </c>
      <c r="Y55" s="5" t="s">
        <v>325</v>
      </c>
    </row>
    <row r="56" ht="14.25" customHeight="1">
      <c r="A56" s="5" t="s">
        <v>327</v>
      </c>
      <c r="B56" s="5" t="s">
        <v>326</v>
      </c>
      <c r="C56" s="5" t="s">
        <v>11</v>
      </c>
      <c r="F56" s="5" t="s">
        <v>125</v>
      </c>
      <c r="G56" s="5" t="s">
        <v>145</v>
      </c>
      <c r="H56" s="5" t="s">
        <v>244</v>
      </c>
      <c r="M56" s="17">
        <v>0.005</v>
      </c>
      <c r="N56" s="17">
        <v>5.0E-4</v>
      </c>
      <c r="Q56" s="16">
        <f>7*10^6</f>
        <v>7000000</v>
      </c>
      <c r="R56" s="16">
        <f>Q56/10</f>
        <v>700000</v>
      </c>
      <c r="W56" s="16">
        <f>Q56*M56</f>
        <v>35000</v>
      </c>
      <c r="X56" s="16">
        <f>SQRT(SUMSQ(M56*R56,N56*Q56))</f>
        <v>4949.747468</v>
      </c>
      <c r="Y56" s="5" t="s">
        <v>329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5.29"/>
    <col customWidth="1" min="3" max="8" width="8.71"/>
    <col customWidth="1" min="9" max="9" width="12.57"/>
    <col customWidth="1" min="10" max="14" width="8.71"/>
    <col customWidth="1" min="15" max="15" width="12.0"/>
    <col customWidth="1" min="16" max="16" width="16.71"/>
    <col customWidth="1" min="17" max="29" width="8.71"/>
  </cols>
  <sheetData>
    <row r="1" ht="14.25" customHeight="1">
      <c r="A1" s="20" t="s">
        <v>101</v>
      </c>
      <c r="B1" s="20" t="s">
        <v>102</v>
      </c>
      <c r="C1" s="20" t="s">
        <v>0</v>
      </c>
      <c r="D1" s="20" t="s">
        <v>1</v>
      </c>
      <c r="E1" s="20" t="s">
        <v>103</v>
      </c>
      <c r="F1" s="20" t="s">
        <v>104</v>
      </c>
      <c r="G1" s="20" t="s">
        <v>105</v>
      </c>
      <c r="H1" s="20" t="s">
        <v>106</v>
      </c>
      <c r="I1" s="20" t="s">
        <v>107</v>
      </c>
      <c r="J1" s="20" t="s">
        <v>108</v>
      </c>
      <c r="K1" s="20" t="s">
        <v>109</v>
      </c>
      <c r="L1" s="20" t="s">
        <v>110</v>
      </c>
      <c r="M1" s="20" t="s">
        <v>111</v>
      </c>
      <c r="N1" s="20" t="s">
        <v>112</v>
      </c>
      <c r="O1" s="20" t="s">
        <v>113</v>
      </c>
      <c r="P1" s="20" t="s">
        <v>114</v>
      </c>
      <c r="Q1" s="20" t="s">
        <v>115</v>
      </c>
      <c r="R1" s="20" t="s">
        <v>116</v>
      </c>
      <c r="S1" s="20" t="s">
        <v>117</v>
      </c>
      <c r="T1" s="20" t="s">
        <v>118</v>
      </c>
      <c r="U1" s="20" t="s">
        <v>119</v>
      </c>
      <c r="V1" s="20" t="s">
        <v>120</v>
      </c>
      <c r="W1" s="20" t="s">
        <v>121</v>
      </c>
      <c r="X1" s="20" t="s">
        <v>122</v>
      </c>
      <c r="Y1" s="20" t="s">
        <v>2</v>
      </c>
      <c r="Z1" s="21"/>
      <c r="AA1" s="21"/>
      <c r="AB1" s="21"/>
      <c r="AC1" s="21"/>
    </row>
    <row r="2" ht="14.25" customHeight="1">
      <c r="A2" s="22" t="s">
        <v>330</v>
      </c>
      <c r="B2" s="23" t="s">
        <v>331</v>
      </c>
      <c r="C2" s="23" t="s">
        <v>11</v>
      </c>
      <c r="D2" s="24"/>
      <c r="E2" s="24"/>
      <c r="F2" s="23" t="s">
        <v>125</v>
      </c>
      <c r="G2" s="24"/>
      <c r="H2" s="23" t="s">
        <v>244</v>
      </c>
      <c r="I2" s="24"/>
      <c r="J2" s="24"/>
      <c r="K2" s="24"/>
      <c r="L2" s="24"/>
      <c r="M2" s="21"/>
      <c r="N2" s="21"/>
      <c r="O2" s="21"/>
      <c r="P2" s="21"/>
      <c r="Q2" s="21"/>
      <c r="R2" s="21"/>
      <c r="S2" s="21"/>
      <c r="T2" s="21"/>
      <c r="U2" s="21"/>
      <c r="V2" s="21"/>
      <c r="W2" s="25">
        <f>1000*1433</f>
        <v>1433000</v>
      </c>
      <c r="X2" s="25">
        <v>55.22058884904996</v>
      </c>
      <c r="Y2" s="26" t="s">
        <v>332</v>
      </c>
      <c r="Z2" s="21"/>
      <c r="AA2" s="21"/>
      <c r="AB2" s="21"/>
      <c r="AC2" s="21"/>
    </row>
    <row r="3" ht="14.25" customHeight="1">
      <c r="A3" s="22" t="s">
        <v>330</v>
      </c>
      <c r="B3" s="23" t="s">
        <v>333</v>
      </c>
      <c r="C3" s="23" t="s">
        <v>11</v>
      </c>
      <c r="D3" s="24"/>
      <c r="E3" s="24"/>
      <c r="F3" s="23" t="s">
        <v>125</v>
      </c>
      <c r="G3" s="24"/>
      <c r="H3" s="23" t="s">
        <v>244</v>
      </c>
      <c r="I3" s="24"/>
      <c r="J3" s="24"/>
      <c r="K3" s="24"/>
      <c r="L3" s="24"/>
      <c r="M3" s="21"/>
      <c r="N3" s="21"/>
      <c r="O3" s="21"/>
      <c r="P3" s="21"/>
      <c r="Q3" s="21"/>
      <c r="R3" s="21"/>
      <c r="S3" s="21"/>
      <c r="T3" s="21"/>
      <c r="U3" s="21"/>
      <c r="V3" s="21"/>
      <c r="W3" s="25">
        <f>1000*245</f>
        <v>245000</v>
      </c>
      <c r="X3" s="25">
        <v>13.927316656618794</v>
      </c>
      <c r="Y3" s="26" t="s">
        <v>332</v>
      </c>
      <c r="Z3" s="21"/>
      <c r="AA3" s="21"/>
      <c r="AB3" s="21"/>
      <c r="AC3" s="21"/>
    </row>
    <row r="4" ht="14.25" customHeight="1">
      <c r="A4" s="22" t="s">
        <v>330</v>
      </c>
      <c r="B4" s="23" t="s">
        <v>334</v>
      </c>
      <c r="C4" s="23" t="s">
        <v>11</v>
      </c>
      <c r="D4" s="24"/>
      <c r="E4" s="24"/>
      <c r="F4" s="23" t="s">
        <v>125</v>
      </c>
      <c r="G4" s="24"/>
      <c r="H4" s="23" t="s">
        <v>244</v>
      </c>
      <c r="I4" s="24"/>
      <c r="J4" s="24"/>
      <c r="K4" s="24"/>
      <c r="L4" s="24"/>
      <c r="M4" s="24"/>
      <c r="N4" s="21"/>
      <c r="O4" s="21"/>
      <c r="P4" s="21"/>
      <c r="Q4" s="21"/>
      <c r="R4" s="21"/>
      <c r="S4" s="21"/>
      <c r="T4" s="21"/>
      <c r="U4" s="21"/>
      <c r="V4" s="21"/>
      <c r="W4" s="25">
        <f>1000*284</f>
        <v>284000</v>
      </c>
      <c r="X4" s="25">
        <v>18.569755542158394</v>
      </c>
      <c r="Y4" s="26" t="s">
        <v>332</v>
      </c>
      <c r="Z4" s="21"/>
      <c r="AA4" s="21"/>
      <c r="AB4" s="21"/>
      <c r="AC4" s="21"/>
    </row>
    <row r="5" ht="14.25" customHeight="1">
      <c r="A5" s="22" t="s">
        <v>330</v>
      </c>
      <c r="B5" s="23" t="s">
        <v>335</v>
      </c>
      <c r="C5" s="23" t="s">
        <v>11</v>
      </c>
      <c r="D5" s="24"/>
      <c r="E5" s="24"/>
      <c r="F5" s="23" t="s">
        <v>125</v>
      </c>
      <c r="G5" s="24"/>
      <c r="H5" s="23" t="s">
        <v>244</v>
      </c>
      <c r="I5" s="24"/>
      <c r="J5" s="24"/>
      <c r="K5" s="24"/>
      <c r="L5" s="24"/>
      <c r="M5" s="24"/>
      <c r="N5" s="21"/>
      <c r="O5" s="21"/>
      <c r="P5" s="21"/>
      <c r="Q5" s="21"/>
      <c r="R5" s="21"/>
      <c r="S5" s="21"/>
      <c r="T5" s="21"/>
      <c r="U5" s="21"/>
      <c r="V5" s="21"/>
      <c r="W5" s="25">
        <f>1000*3.4</f>
        <v>3400</v>
      </c>
      <c r="X5" s="25">
        <v>0.47646083298959035</v>
      </c>
      <c r="Y5" s="26" t="s">
        <v>336</v>
      </c>
      <c r="Z5" s="21"/>
      <c r="AA5" s="21"/>
      <c r="AB5" s="21"/>
      <c r="AC5" s="21"/>
    </row>
    <row r="6" ht="14.25" customHeight="1">
      <c r="A6" s="27" t="s">
        <v>337</v>
      </c>
      <c r="B6" s="24" t="s">
        <v>338</v>
      </c>
      <c r="C6" s="21" t="s">
        <v>13</v>
      </c>
      <c r="D6" s="24"/>
      <c r="E6" s="24"/>
      <c r="F6" s="23" t="s">
        <v>125</v>
      </c>
      <c r="G6" s="24"/>
      <c r="H6" s="24" t="s">
        <v>339</v>
      </c>
      <c r="I6" s="24"/>
      <c r="J6" s="24"/>
      <c r="K6" s="24"/>
      <c r="L6" s="24"/>
      <c r="M6" s="28">
        <f>4.6%</f>
        <v>0.046</v>
      </c>
      <c r="N6" s="21"/>
      <c r="O6" s="25">
        <f>18*10^9*70</f>
        <v>1260000000000</v>
      </c>
      <c r="P6" s="29">
        <v>4.0E11</v>
      </c>
      <c r="Q6" s="21"/>
      <c r="R6" s="21"/>
      <c r="S6" s="30">
        <f t="shared" ref="S6:S7" si="1">M6*O6</f>
        <v>57960000000</v>
      </c>
      <c r="T6" s="29">
        <f t="shared" ref="T6:T7" si="2">M6*P6</f>
        <v>18400000000</v>
      </c>
      <c r="U6" s="21">
        <v>1170.0</v>
      </c>
      <c r="V6" s="21"/>
      <c r="W6" s="30">
        <f t="shared" ref="W6:W7" si="3">S6/U6</f>
        <v>49538461.54</v>
      </c>
      <c r="X6" s="29">
        <f t="shared" ref="X6:X7" si="4">T6/S6*W6</f>
        <v>15726495.73</v>
      </c>
      <c r="Y6" s="21"/>
      <c r="Z6" s="21"/>
      <c r="AA6" s="21"/>
      <c r="AB6" s="21"/>
      <c r="AC6" s="21"/>
    </row>
    <row r="7" ht="14.25" customHeight="1">
      <c r="A7" s="27" t="s">
        <v>340</v>
      </c>
      <c r="B7" s="24" t="s">
        <v>338</v>
      </c>
      <c r="C7" s="21" t="s">
        <v>13</v>
      </c>
      <c r="D7" s="24"/>
      <c r="E7" s="24"/>
      <c r="F7" s="23" t="s">
        <v>125</v>
      </c>
      <c r="G7" s="24"/>
      <c r="H7" s="24" t="s">
        <v>339</v>
      </c>
      <c r="I7" s="21"/>
      <c r="J7" s="21"/>
      <c r="K7" s="21"/>
      <c r="L7" s="21"/>
      <c r="M7" s="31">
        <f>(3.4%+0.7%)/(1-3.6%)</f>
        <v>0.04253112033</v>
      </c>
      <c r="N7" s="21"/>
      <c r="O7" s="25">
        <f>AVERAGE(10.4,11.1)*10^9*70</f>
        <v>752500000000</v>
      </c>
      <c r="P7" s="25">
        <f>STDEV(10.4,11.1)*10^9*70</f>
        <v>34648232278</v>
      </c>
      <c r="Q7" s="21"/>
      <c r="R7" s="21"/>
      <c r="S7" s="30">
        <f t="shared" si="1"/>
        <v>32004668050</v>
      </c>
      <c r="T7" s="30">
        <f t="shared" si="2"/>
        <v>1473628136</v>
      </c>
      <c r="U7" s="21">
        <v>1170.0</v>
      </c>
      <c r="V7" s="21"/>
      <c r="W7" s="30">
        <f t="shared" si="3"/>
        <v>27354417.14</v>
      </c>
      <c r="X7" s="30">
        <f t="shared" si="4"/>
        <v>1259511.228</v>
      </c>
      <c r="Y7" s="21"/>
      <c r="Z7" s="21"/>
      <c r="AA7" s="21"/>
      <c r="AB7" s="21"/>
      <c r="AC7" s="21"/>
    </row>
    <row r="8" ht="14.25" customHeight="1">
      <c r="A8" s="21" t="s">
        <v>341</v>
      </c>
      <c r="B8" s="23" t="s">
        <v>331</v>
      </c>
      <c r="C8" s="21" t="s">
        <v>13</v>
      </c>
      <c r="D8" s="24"/>
      <c r="E8" s="24"/>
      <c r="F8" s="23" t="s">
        <v>125</v>
      </c>
      <c r="G8" s="24"/>
      <c r="H8" s="24" t="s">
        <v>342</v>
      </c>
      <c r="I8" s="24"/>
      <c r="J8" s="24"/>
      <c r="K8" s="22"/>
      <c r="L8" s="22"/>
      <c r="M8" s="32">
        <f>Lymph_subgroups_and_details!N5</f>
        <v>0.5398647243</v>
      </c>
      <c r="N8" s="32">
        <f>Lymph_subgroups_and_details!M5</f>
        <v>0.09473328515</v>
      </c>
      <c r="O8" s="21"/>
      <c r="P8" s="21"/>
      <c r="Q8" s="30">
        <f t="shared" ref="Q8:Q11" si="5">AVERAGE($W$6:$W$7)</f>
        <v>38446439.34</v>
      </c>
      <c r="R8" s="30">
        <f t="shared" ref="R8:R11" si="6">sqrt(sumsq(stdev($W$6:$W$7), average($X$6:$X$7)))</f>
        <v>17838077.84</v>
      </c>
      <c r="S8" s="21"/>
      <c r="T8" s="21"/>
      <c r="U8" s="21">
        <v>1170.0</v>
      </c>
      <c r="V8" s="21"/>
      <c r="W8" s="30">
        <f t="shared" ref="W8:W10" si="7">Q8*M8</f>
        <v>20755876.37</v>
      </c>
      <c r="X8" s="30">
        <f t="shared" ref="X8:X10" si="8">sqrt(sumsq(M8*R8,N8*Q8))</f>
        <v>10295876.87</v>
      </c>
      <c r="Y8" s="21" t="s">
        <v>343</v>
      </c>
      <c r="Z8" s="21"/>
      <c r="AA8" s="21"/>
      <c r="AB8" s="21"/>
      <c r="AC8" s="21"/>
    </row>
    <row r="9" ht="14.25" customHeight="1">
      <c r="A9" s="21" t="s">
        <v>341</v>
      </c>
      <c r="B9" s="23" t="s">
        <v>333</v>
      </c>
      <c r="C9" s="21" t="s">
        <v>13</v>
      </c>
      <c r="D9" s="24"/>
      <c r="E9" s="24"/>
      <c r="F9" s="23" t="s">
        <v>125</v>
      </c>
      <c r="G9" s="24"/>
      <c r="H9" s="24" t="s">
        <v>342</v>
      </c>
      <c r="I9" s="24"/>
      <c r="J9" s="24"/>
      <c r="K9" s="33"/>
      <c r="L9" s="21"/>
      <c r="M9" s="32">
        <f>Lymph_subgroups_and_details!N6</f>
        <v>0.3743265844</v>
      </c>
      <c r="N9" s="32">
        <f>Lymph_subgroups_and_details!M6</f>
        <v>0.0644980429</v>
      </c>
      <c r="O9" s="21"/>
      <c r="P9" s="21"/>
      <c r="Q9" s="30">
        <f t="shared" si="5"/>
        <v>38446439.34</v>
      </c>
      <c r="R9" s="30">
        <f t="shared" si="6"/>
        <v>17838077.84</v>
      </c>
      <c r="S9" s="24"/>
      <c r="T9" s="24"/>
      <c r="U9" s="21">
        <v>1170.0</v>
      </c>
      <c r="V9" s="24"/>
      <c r="W9" s="30">
        <f t="shared" si="7"/>
        <v>14391524.32</v>
      </c>
      <c r="X9" s="30">
        <f t="shared" si="8"/>
        <v>7122843.745</v>
      </c>
      <c r="Y9" s="21" t="s">
        <v>343</v>
      </c>
      <c r="Z9" s="24"/>
      <c r="AA9" s="24"/>
      <c r="AB9" s="24"/>
      <c r="AC9" s="24"/>
    </row>
    <row r="10" ht="14.25" customHeight="1">
      <c r="A10" s="21" t="s">
        <v>341</v>
      </c>
      <c r="B10" s="23" t="s">
        <v>334</v>
      </c>
      <c r="C10" s="21" t="s">
        <v>13</v>
      </c>
      <c r="D10" s="24"/>
      <c r="E10" s="24"/>
      <c r="F10" s="23" t="s">
        <v>125</v>
      </c>
      <c r="G10" s="24"/>
      <c r="H10" s="24" t="s">
        <v>342</v>
      </c>
      <c r="I10" s="24"/>
      <c r="J10" s="24"/>
      <c r="K10" s="25"/>
      <c r="L10" s="21"/>
      <c r="M10" s="32">
        <f>Lymph_subgroups_and_details!N7</f>
        <v>0.08580869122</v>
      </c>
      <c r="N10" s="32">
        <f>Lymph_subgroups_and_details!M7</f>
        <v>0.03416873767</v>
      </c>
      <c r="O10" s="21"/>
      <c r="P10" s="21"/>
      <c r="Q10" s="30">
        <f t="shared" si="5"/>
        <v>38446439.34</v>
      </c>
      <c r="R10" s="30">
        <f t="shared" si="6"/>
        <v>17838077.84</v>
      </c>
      <c r="S10" s="24"/>
      <c r="T10" s="24"/>
      <c r="U10" s="21">
        <v>1170.0</v>
      </c>
      <c r="V10" s="24"/>
      <c r="W10" s="30">
        <f t="shared" si="7"/>
        <v>3299038.642</v>
      </c>
      <c r="X10" s="30">
        <f t="shared" si="8"/>
        <v>2017088.41</v>
      </c>
      <c r="Y10" s="21" t="s">
        <v>343</v>
      </c>
      <c r="Z10" s="24"/>
      <c r="AA10" s="24"/>
      <c r="AB10" s="24"/>
      <c r="AC10" s="21"/>
    </row>
    <row r="11" ht="14.25" customHeight="1">
      <c r="A11" s="21" t="s">
        <v>341</v>
      </c>
      <c r="B11" s="23" t="s">
        <v>335</v>
      </c>
      <c r="C11" s="21" t="s">
        <v>13</v>
      </c>
      <c r="D11" s="24"/>
      <c r="E11" s="24"/>
      <c r="F11" s="23" t="s">
        <v>125</v>
      </c>
      <c r="G11" s="24"/>
      <c r="H11" s="24" t="s">
        <v>344</v>
      </c>
      <c r="I11" s="24"/>
      <c r="J11" s="24"/>
      <c r="K11" s="23"/>
      <c r="L11" s="34"/>
      <c r="M11" s="25"/>
      <c r="N11" s="34"/>
      <c r="O11" s="21"/>
      <c r="P11" s="21"/>
      <c r="Q11" s="30">
        <f t="shared" si="5"/>
        <v>38446439.34</v>
      </c>
      <c r="R11" s="30">
        <f t="shared" si="6"/>
        <v>17838077.84</v>
      </c>
      <c r="S11" s="30">
        <f>Lymph_subgroups_and_details!C24</f>
        <v>2543486329</v>
      </c>
      <c r="T11" s="30">
        <f>Lymph_subgroups_and_details!D24</f>
        <v>1276226483</v>
      </c>
      <c r="U11" s="21">
        <v>1170.0</v>
      </c>
      <c r="V11" s="21"/>
      <c r="W11" s="30">
        <f>S11/U11</f>
        <v>2173919.939</v>
      </c>
      <c r="X11" s="30">
        <f>T11/S11*W11</f>
        <v>1090791.866</v>
      </c>
      <c r="Y11" s="21" t="s">
        <v>343</v>
      </c>
      <c r="Z11" s="21"/>
      <c r="AA11" s="21"/>
      <c r="AB11" s="21"/>
      <c r="AC11" s="21"/>
    </row>
    <row r="12" ht="14.25" customHeight="1">
      <c r="A12" s="21" t="s">
        <v>345</v>
      </c>
      <c r="B12" s="23" t="s">
        <v>331</v>
      </c>
      <c r="C12" s="23" t="s">
        <v>21</v>
      </c>
      <c r="D12" s="23"/>
      <c r="E12" s="23"/>
      <c r="F12" s="23" t="s">
        <v>125</v>
      </c>
      <c r="G12" s="23" t="s">
        <v>205</v>
      </c>
      <c r="H12" s="23" t="s">
        <v>346</v>
      </c>
      <c r="I12" s="35"/>
      <c r="J12" s="36"/>
      <c r="K12" s="36"/>
      <c r="L12" s="23"/>
      <c r="M12" s="37">
        <f>Lymph_subgroups_and_details!L82</f>
        <v>0.4</v>
      </c>
      <c r="N12" s="37">
        <f>Lymph_subgroups_and_details!M82</f>
        <v>0.03081102794</v>
      </c>
      <c r="O12" s="35"/>
      <c r="P12" s="35"/>
      <c r="Q12" s="25">
        <f>3500/500^2/10*10^12 * Lymph_subgroups_and_details!$F$35</f>
        <v>1043000000</v>
      </c>
      <c r="R12" s="25">
        <f t="shared" ref="R12:R16" si="9">Q12* 2/10</f>
        <v>208600000</v>
      </c>
      <c r="S12" s="22"/>
      <c r="T12" s="22"/>
      <c r="U12" s="22">
        <v>150.0</v>
      </c>
      <c r="V12" s="22"/>
      <c r="W12" s="30">
        <f t="shared" ref="W12:W16" si="10">Q12*M12</f>
        <v>417200000</v>
      </c>
      <c r="X12" s="30">
        <f t="shared" ref="X12:X16" si="11">sqrt(sumsq(M12*R12,N12*Q12))</f>
        <v>89414483.2</v>
      </c>
      <c r="Y12" s="21" t="s">
        <v>347</v>
      </c>
      <c r="Z12" s="21"/>
      <c r="AA12" s="21"/>
      <c r="AB12" s="21"/>
      <c r="AC12" s="21"/>
    </row>
    <row r="13" ht="14.25" customHeight="1">
      <c r="A13" s="21" t="s">
        <v>345</v>
      </c>
      <c r="B13" s="23" t="s">
        <v>333</v>
      </c>
      <c r="C13" s="23" t="s">
        <v>21</v>
      </c>
      <c r="D13" s="23"/>
      <c r="E13" s="23"/>
      <c r="F13" s="23" t="s">
        <v>125</v>
      </c>
      <c r="G13" s="23" t="s">
        <v>205</v>
      </c>
      <c r="H13" s="23" t="s">
        <v>346</v>
      </c>
      <c r="I13" s="33"/>
      <c r="J13" s="36"/>
      <c r="K13" s="36"/>
      <c r="L13" s="36"/>
      <c r="M13" s="37">
        <f>Lymph_subgroups_and_details!L83</f>
        <v>0.5</v>
      </c>
      <c r="N13" s="37">
        <f>Lymph_subgroups_and_details!M83</f>
        <v>0.02778681838</v>
      </c>
      <c r="O13" s="35"/>
      <c r="P13" s="35"/>
      <c r="Q13" s="25">
        <f>3500/500^2/10*10^12 * Lymph_subgroups_and_details!$F$35</f>
        <v>1043000000</v>
      </c>
      <c r="R13" s="25">
        <f t="shared" si="9"/>
        <v>208600000</v>
      </c>
      <c r="S13" s="22"/>
      <c r="T13" s="22"/>
      <c r="U13" s="22">
        <v>150.0</v>
      </c>
      <c r="V13" s="22"/>
      <c r="W13" s="30">
        <f t="shared" si="10"/>
        <v>521500000</v>
      </c>
      <c r="X13" s="30">
        <f t="shared" si="11"/>
        <v>108251679.6</v>
      </c>
      <c r="Y13" s="21" t="s">
        <v>347</v>
      </c>
      <c r="Z13" s="21"/>
      <c r="AA13" s="21"/>
      <c r="AB13" s="21"/>
      <c r="AC13" s="21"/>
    </row>
    <row r="14" ht="14.25" customHeight="1">
      <c r="A14" s="21" t="s">
        <v>345</v>
      </c>
      <c r="B14" s="23" t="s">
        <v>334</v>
      </c>
      <c r="C14" s="23" t="s">
        <v>21</v>
      </c>
      <c r="D14" s="23"/>
      <c r="E14" s="23"/>
      <c r="F14" s="23" t="s">
        <v>125</v>
      </c>
      <c r="G14" s="23" t="s">
        <v>205</v>
      </c>
      <c r="H14" s="23" t="s">
        <v>346</v>
      </c>
      <c r="I14" s="33"/>
      <c r="J14" s="36"/>
      <c r="K14" s="36"/>
      <c r="L14" s="36"/>
      <c r="M14" s="37">
        <f>Lymph_subgroups_and_details!L84</f>
        <v>0.1</v>
      </c>
      <c r="N14" s="37">
        <f>Lymph_subgroups_and_details!M84</f>
        <v>0.008405188011</v>
      </c>
      <c r="O14" s="35"/>
      <c r="P14" s="35"/>
      <c r="Q14" s="25">
        <f>3500/500^2/10*10^12 * Lymph_subgroups_and_details!$F$35</f>
        <v>1043000000</v>
      </c>
      <c r="R14" s="25">
        <f t="shared" si="9"/>
        <v>208600000</v>
      </c>
      <c r="S14" s="22"/>
      <c r="T14" s="22"/>
      <c r="U14" s="22">
        <v>150.0</v>
      </c>
      <c r="V14" s="22"/>
      <c r="W14" s="30">
        <f t="shared" si="10"/>
        <v>104300000</v>
      </c>
      <c r="X14" s="30">
        <f t="shared" si="11"/>
        <v>22627263.87</v>
      </c>
      <c r="Y14" s="21" t="s">
        <v>347</v>
      </c>
      <c r="Z14" s="21"/>
      <c r="AA14" s="21"/>
      <c r="AB14" s="21"/>
      <c r="AC14" s="21"/>
    </row>
    <row r="15" ht="14.25" customHeight="1">
      <c r="A15" s="22" t="s">
        <v>348</v>
      </c>
      <c r="B15" s="23" t="s">
        <v>335</v>
      </c>
      <c r="C15" s="23" t="s">
        <v>21</v>
      </c>
      <c r="D15" s="23"/>
      <c r="E15" s="23"/>
      <c r="F15" s="23" t="s">
        <v>125</v>
      </c>
      <c r="G15" s="23" t="s">
        <v>205</v>
      </c>
      <c r="H15" s="23" t="s">
        <v>349</v>
      </c>
      <c r="I15" s="33"/>
      <c r="J15" s="36"/>
      <c r="K15" s="36"/>
      <c r="L15" s="36"/>
      <c r="M15" s="38">
        <v>0.0044</v>
      </c>
      <c r="N15" s="39">
        <f>0.08%</f>
        <v>0.0008</v>
      </c>
      <c r="O15" s="35"/>
      <c r="P15" s="35"/>
      <c r="Q15" s="25">
        <f>3500/500^2/10*10^12</f>
        <v>1400000000</v>
      </c>
      <c r="R15" s="25">
        <f t="shared" si="9"/>
        <v>280000000</v>
      </c>
      <c r="S15" s="22"/>
      <c r="T15" s="22"/>
      <c r="U15" s="22">
        <v>150.0</v>
      </c>
      <c r="V15" s="22"/>
      <c r="W15" s="30">
        <f t="shared" si="10"/>
        <v>6160000</v>
      </c>
      <c r="X15" s="30">
        <f t="shared" si="11"/>
        <v>1664999.7</v>
      </c>
      <c r="Y15" s="21"/>
      <c r="Z15" s="21"/>
      <c r="AA15" s="21"/>
      <c r="AB15" s="21"/>
      <c r="AC15" s="21"/>
    </row>
    <row r="16" ht="14.25" customHeight="1">
      <c r="A16" s="21" t="s">
        <v>350</v>
      </c>
      <c r="B16" s="23" t="s">
        <v>335</v>
      </c>
      <c r="C16" s="23" t="s">
        <v>21</v>
      </c>
      <c r="D16" s="23"/>
      <c r="E16" s="23"/>
      <c r="F16" s="23" t="s">
        <v>125</v>
      </c>
      <c r="G16" s="23" t="s">
        <v>205</v>
      </c>
      <c r="H16" s="23" t="s">
        <v>351</v>
      </c>
      <c r="I16" s="33"/>
      <c r="J16" s="36"/>
      <c r="K16" s="36"/>
      <c r="L16" s="36"/>
      <c r="M16" s="38">
        <v>0.0066</v>
      </c>
      <c r="N16" s="38"/>
      <c r="O16" s="35"/>
      <c r="P16" s="35"/>
      <c r="Q16" s="25">
        <f>3500/500^2/10*10^12 * Lymph_subgroups_and_details!$F$35</f>
        <v>1043000000</v>
      </c>
      <c r="R16" s="25">
        <f t="shared" si="9"/>
        <v>208600000</v>
      </c>
      <c r="S16" s="22"/>
      <c r="T16" s="22"/>
      <c r="U16" s="22">
        <v>150.0</v>
      </c>
      <c r="V16" s="22"/>
      <c r="W16" s="30">
        <f t="shared" si="10"/>
        <v>6883800</v>
      </c>
      <c r="X16" s="30">
        <f t="shared" si="11"/>
        <v>1376760</v>
      </c>
      <c r="Y16" s="22"/>
      <c r="Z16" s="21"/>
      <c r="AA16" s="21"/>
      <c r="AB16" s="21"/>
      <c r="AC16" s="21"/>
    </row>
    <row r="17" ht="14.25" customHeight="1">
      <c r="A17" s="21" t="s">
        <v>352</v>
      </c>
      <c r="B17" s="24" t="s">
        <v>338</v>
      </c>
      <c r="C17" s="23" t="s">
        <v>16</v>
      </c>
      <c r="F17" s="21" t="s">
        <v>125</v>
      </c>
      <c r="G17" s="22" t="s">
        <v>353</v>
      </c>
      <c r="H17" s="22" t="s">
        <v>354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5">
        <f>average(2.2,2.2,4.7)/1000/(6.2*10^-12)</f>
        <v>489247311.8</v>
      </c>
      <c r="X17" s="25">
        <f>STDEV(2.2,2.2,4.7)/1000/(6.2*10^-12)</f>
        <v>232802527.9</v>
      </c>
      <c r="Y17" s="21" t="s">
        <v>355</v>
      </c>
      <c r="Z17" s="21"/>
      <c r="AA17" s="21"/>
      <c r="AB17" s="21"/>
      <c r="AC17" s="21"/>
    </row>
    <row r="18" ht="14.25" customHeight="1">
      <c r="A18" s="21" t="s">
        <v>356</v>
      </c>
      <c r="B18" s="24" t="s">
        <v>338</v>
      </c>
      <c r="C18" s="23" t="s">
        <v>16</v>
      </c>
      <c r="E18" s="21" t="s">
        <v>196</v>
      </c>
      <c r="F18" s="21" t="s">
        <v>357</v>
      </c>
      <c r="G18" s="22"/>
      <c r="H18" s="22" t="s">
        <v>358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5">
        <v>1.8E9</v>
      </c>
      <c r="X18" s="25"/>
      <c r="Y18" s="22"/>
      <c r="Z18" s="21"/>
      <c r="AA18" s="21"/>
      <c r="AB18" s="21"/>
      <c r="AC18" s="21"/>
    </row>
    <row r="19" ht="14.25" customHeight="1">
      <c r="A19" s="21" t="s">
        <v>356</v>
      </c>
      <c r="B19" s="24" t="s">
        <v>338</v>
      </c>
      <c r="C19" s="23" t="s">
        <v>16</v>
      </c>
      <c r="E19" s="21" t="s">
        <v>197</v>
      </c>
      <c r="F19" s="21" t="s">
        <v>357</v>
      </c>
      <c r="G19" s="22"/>
      <c r="H19" s="22" t="s">
        <v>358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5">
        <v>1.4E9</v>
      </c>
      <c r="X19" s="25"/>
      <c r="Y19" s="22"/>
      <c r="Z19" s="21"/>
      <c r="AA19" s="21"/>
      <c r="AB19" s="21"/>
      <c r="AC19" s="21"/>
    </row>
    <row r="20" ht="14.25" customHeight="1">
      <c r="A20" s="21" t="s">
        <v>356</v>
      </c>
      <c r="B20" s="24" t="s">
        <v>338</v>
      </c>
      <c r="C20" s="23" t="s">
        <v>16</v>
      </c>
      <c r="E20" s="21" t="s">
        <v>359</v>
      </c>
      <c r="F20" s="21" t="s">
        <v>357</v>
      </c>
      <c r="G20" s="22"/>
      <c r="H20" s="22" t="s">
        <v>358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5">
        <v>1.5E9</v>
      </c>
      <c r="X20" s="25"/>
      <c r="Y20" s="22"/>
      <c r="Z20" s="21"/>
      <c r="AA20" s="21"/>
      <c r="AB20" s="21"/>
      <c r="AC20" s="21"/>
    </row>
    <row r="21" ht="14.25" customHeight="1">
      <c r="A21" s="21" t="s">
        <v>356</v>
      </c>
      <c r="B21" s="24" t="s">
        <v>338</v>
      </c>
      <c r="C21" s="23" t="s">
        <v>16</v>
      </c>
      <c r="E21" s="21" t="s">
        <v>360</v>
      </c>
      <c r="F21" s="21" t="s">
        <v>357</v>
      </c>
      <c r="G21" s="22"/>
      <c r="H21" s="22" t="s">
        <v>358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5">
        <v>1.3E9</v>
      </c>
      <c r="X21" s="25"/>
      <c r="Y21" s="22"/>
      <c r="Z21" s="21"/>
      <c r="AA21" s="21"/>
      <c r="AB21" s="21"/>
      <c r="AC21" s="21"/>
    </row>
    <row r="22" ht="14.25" customHeight="1">
      <c r="A22" s="21" t="s">
        <v>361</v>
      </c>
      <c r="B22" s="24" t="s">
        <v>338</v>
      </c>
      <c r="C22" s="23" t="s">
        <v>16</v>
      </c>
      <c r="E22" s="21" t="s">
        <v>197</v>
      </c>
      <c r="F22" s="21" t="s">
        <v>247</v>
      </c>
      <c r="G22" s="22"/>
      <c r="H22" s="22" t="s">
        <v>362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5">
        <v>1.1E9</v>
      </c>
      <c r="X22" s="25"/>
      <c r="Y22" s="22"/>
      <c r="Z22" s="21"/>
      <c r="AA22" s="21"/>
      <c r="AB22" s="21"/>
      <c r="AC22" s="21"/>
    </row>
    <row r="23" ht="14.25" customHeight="1">
      <c r="A23" s="21" t="s">
        <v>363</v>
      </c>
      <c r="B23" s="24" t="s">
        <v>338</v>
      </c>
      <c r="C23" s="23" t="s">
        <v>16</v>
      </c>
      <c r="E23" s="21" t="s">
        <v>196</v>
      </c>
      <c r="F23" s="21" t="s">
        <v>247</v>
      </c>
      <c r="G23" s="22"/>
      <c r="H23" s="22" t="s">
        <v>364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5">
        <v>1.15E9</v>
      </c>
      <c r="X23" s="25"/>
      <c r="Y23" s="22"/>
      <c r="Z23" s="21"/>
      <c r="AA23" s="21"/>
      <c r="AB23" s="21"/>
      <c r="AC23" s="21"/>
    </row>
    <row r="24" ht="14.25" customHeight="1">
      <c r="A24" s="21" t="s">
        <v>363</v>
      </c>
      <c r="B24" s="24" t="s">
        <v>338</v>
      </c>
      <c r="C24" s="23" t="s">
        <v>16</v>
      </c>
      <c r="E24" s="21" t="s">
        <v>197</v>
      </c>
      <c r="F24" s="21" t="s">
        <v>247</v>
      </c>
      <c r="G24" s="22"/>
      <c r="H24" s="22" t="s">
        <v>364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5">
        <v>1.92E9</v>
      </c>
      <c r="X24" s="25"/>
      <c r="Y24" s="22"/>
      <c r="Z24" s="21"/>
      <c r="AA24" s="21"/>
      <c r="AB24" s="21"/>
      <c r="AC24" s="21"/>
    </row>
    <row r="25" ht="14.25" customHeight="1">
      <c r="A25" s="21" t="s">
        <v>363</v>
      </c>
      <c r="B25" s="24" t="s">
        <v>338</v>
      </c>
      <c r="C25" s="23" t="s">
        <v>16</v>
      </c>
      <c r="E25" s="21" t="s">
        <v>359</v>
      </c>
      <c r="F25" s="21" t="s">
        <v>247</v>
      </c>
      <c r="G25" s="22"/>
      <c r="H25" s="22" t="s">
        <v>364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5">
        <v>1.15E9</v>
      </c>
      <c r="X25" s="25"/>
      <c r="Y25" s="22"/>
      <c r="Z25" s="21"/>
      <c r="AA25" s="21"/>
      <c r="AB25" s="21"/>
      <c r="AC25" s="21"/>
    </row>
    <row r="26" ht="14.25" customHeight="1">
      <c r="A26" s="21" t="s">
        <v>363</v>
      </c>
      <c r="B26" s="24" t="s">
        <v>338</v>
      </c>
      <c r="C26" s="23" t="s">
        <v>16</v>
      </c>
      <c r="E26" s="21" t="s">
        <v>360</v>
      </c>
      <c r="F26" s="21" t="s">
        <v>247</v>
      </c>
      <c r="G26" s="22"/>
      <c r="H26" s="22" t="s">
        <v>364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5">
        <v>1.15E9</v>
      </c>
      <c r="X26" s="25"/>
      <c r="Y26" s="22"/>
      <c r="Z26" s="21"/>
      <c r="AA26" s="21"/>
      <c r="AB26" s="21"/>
      <c r="AC26" s="21"/>
    </row>
    <row r="27" ht="14.25" customHeight="1">
      <c r="A27" s="21" t="s">
        <v>365</v>
      </c>
      <c r="B27" s="24" t="s">
        <v>338</v>
      </c>
      <c r="C27" s="23" t="s">
        <v>16</v>
      </c>
      <c r="E27" s="21" t="s">
        <v>366</v>
      </c>
      <c r="F27" s="21" t="s">
        <v>367</v>
      </c>
      <c r="G27" s="22"/>
      <c r="H27" s="22" t="s">
        <v>362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5">
        <v>1.03E9</v>
      </c>
      <c r="X27" s="25"/>
      <c r="Y27" s="22"/>
      <c r="Z27" s="21"/>
      <c r="AA27" s="21"/>
      <c r="AB27" s="21"/>
      <c r="AC27" s="21"/>
    </row>
    <row r="28" ht="14.25" customHeight="1">
      <c r="A28" s="21" t="s">
        <v>368</v>
      </c>
      <c r="B28" s="24" t="s">
        <v>338</v>
      </c>
      <c r="C28" s="23" t="s">
        <v>16</v>
      </c>
      <c r="E28" s="21" t="s">
        <v>197</v>
      </c>
      <c r="F28" s="21" t="s">
        <v>247</v>
      </c>
      <c r="G28" s="22"/>
      <c r="H28" s="22" t="s">
        <v>358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5">
        <v>2.3E9</v>
      </c>
      <c r="X28" s="25"/>
      <c r="Y28" s="22"/>
      <c r="Z28" s="21"/>
      <c r="AA28" s="21"/>
      <c r="AB28" s="21"/>
      <c r="AC28" s="21"/>
    </row>
    <row r="29" ht="14.25" customHeight="1">
      <c r="A29" s="21" t="s">
        <v>369</v>
      </c>
      <c r="B29" s="23" t="s">
        <v>331</v>
      </c>
      <c r="C29" s="23" t="s">
        <v>16</v>
      </c>
      <c r="D29" s="23"/>
      <c r="E29" s="23"/>
      <c r="F29" s="23" t="s">
        <v>125</v>
      </c>
      <c r="G29" s="23"/>
      <c r="H29" s="23" t="s">
        <v>370</v>
      </c>
      <c r="I29" s="33"/>
      <c r="J29" s="36"/>
      <c r="K29" s="36"/>
      <c r="L29" s="36"/>
      <c r="M29" s="40">
        <f>Lymph_subgroups_and_details!F91</f>
        <v>0.495125</v>
      </c>
      <c r="N29" s="41">
        <f>Lymph_subgroups_and_details!G91</f>
        <v>0.0359276617</v>
      </c>
      <c r="O29" s="35"/>
      <c r="P29" s="35"/>
      <c r="Q29" s="21"/>
      <c r="R29" s="21"/>
      <c r="S29" s="22"/>
      <c r="T29" s="22"/>
      <c r="U29" s="22"/>
      <c r="V29" s="22"/>
      <c r="W29" s="25"/>
      <c r="X29" s="25"/>
      <c r="Y29" s="22" t="s">
        <v>371</v>
      </c>
      <c r="Z29" s="21"/>
      <c r="AA29" s="21"/>
      <c r="AB29" s="21"/>
      <c r="AC29" s="21"/>
    </row>
    <row r="30" ht="14.25" customHeight="1">
      <c r="A30" s="21" t="s">
        <v>369</v>
      </c>
      <c r="B30" s="23" t="s">
        <v>333</v>
      </c>
      <c r="C30" s="23" t="s">
        <v>16</v>
      </c>
      <c r="D30" s="23"/>
      <c r="E30" s="23"/>
      <c r="F30" s="23" t="s">
        <v>125</v>
      </c>
      <c r="G30" s="23"/>
      <c r="H30" s="23" t="s">
        <v>370</v>
      </c>
      <c r="I30" s="33"/>
      <c r="J30" s="36"/>
      <c r="K30" s="36"/>
      <c r="L30" s="36"/>
      <c r="M30" s="40">
        <f>Lymph_subgroups_and_details!F92</f>
        <v>0.342125</v>
      </c>
      <c r="N30" s="41">
        <f>Lymph_subgroups_and_details!G92</f>
        <v>0.02511566991</v>
      </c>
      <c r="O30" s="35"/>
      <c r="P30" s="35"/>
      <c r="Q30" s="21"/>
      <c r="R30" s="21"/>
      <c r="S30" s="22"/>
      <c r="T30" s="22"/>
      <c r="U30" s="22"/>
      <c r="V30" s="22"/>
      <c r="W30" s="25"/>
      <c r="X30" s="25"/>
      <c r="Y30" s="22" t="s">
        <v>371</v>
      </c>
      <c r="Z30" s="21"/>
      <c r="AA30" s="21"/>
      <c r="AB30" s="21"/>
      <c r="AC30" s="21"/>
    </row>
    <row r="31" ht="14.25" customHeight="1">
      <c r="A31" s="21" t="s">
        <v>369</v>
      </c>
      <c r="B31" s="23" t="s">
        <v>334</v>
      </c>
      <c r="C31" s="23" t="s">
        <v>16</v>
      </c>
      <c r="D31" s="23"/>
      <c r="E31" s="23"/>
      <c r="F31" s="23" t="s">
        <v>125</v>
      </c>
      <c r="G31" s="23"/>
      <c r="H31" s="23" t="s">
        <v>370</v>
      </c>
      <c r="I31" s="33"/>
      <c r="J31" s="36"/>
      <c r="K31" s="36"/>
      <c r="L31" s="36"/>
      <c r="M31" s="40">
        <f>Lymph_subgroups_and_details!F93</f>
        <v>0.01275</v>
      </c>
      <c r="N31" s="41">
        <f>Lymph_subgroups_and_details!G93</f>
        <v>0.001416862732</v>
      </c>
      <c r="O31" s="35"/>
      <c r="P31" s="35"/>
      <c r="Q31" s="21"/>
      <c r="R31" s="21"/>
      <c r="S31" s="22"/>
      <c r="T31" s="22"/>
      <c r="U31" s="22"/>
      <c r="V31" s="22"/>
      <c r="W31" s="25"/>
      <c r="X31" s="25"/>
      <c r="Y31" s="22" t="s">
        <v>371</v>
      </c>
      <c r="Z31" s="21"/>
      <c r="AA31" s="21"/>
      <c r="AB31" s="21"/>
      <c r="AC31" s="21"/>
    </row>
    <row r="32" ht="14.25" customHeight="1">
      <c r="A32" s="22" t="s">
        <v>372</v>
      </c>
      <c r="B32" s="23" t="s">
        <v>335</v>
      </c>
      <c r="C32" s="23" t="s">
        <v>16</v>
      </c>
      <c r="D32" s="23"/>
      <c r="E32" s="23"/>
      <c r="F32" s="23" t="s">
        <v>125</v>
      </c>
      <c r="G32" s="23"/>
      <c r="H32" s="23" t="s">
        <v>370</v>
      </c>
      <c r="I32" s="33"/>
      <c r="J32" s="36"/>
      <c r="K32" s="36"/>
      <c r="L32" s="36"/>
      <c r="M32" s="42">
        <f>Lymph_subgroups_and_details!D99</f>
        <v>0.001307631579</v>
      </c>
      <c r="N32" s="42">
        <f>Lymph_subgroups_and_details!E99</f>
        <v>0.001179560711</v>
      </c>
      <c r="O32" s="35"/>
      <c r="P32" s="35"/>
      <c r="Q32" s="21"/>
      <c r="R32" s="21"/>
      <c r="S32" s="22"/>
      <c r="T32" s="22"/>
      <c r="U32" s="22"/>
      <c r="V32" s="22"/>
      <c r="W32" s="25"/>
      <c r="X32" s="25"/>
      <c r="Y32" s="22" t="s">
        <v>371</v>
      </c>
      <c r="Z32" s="21"/>
      <c r="AA32" s="21"/>
      <c r="AB32" s="21"/>
      <c r="AC32" s="21"/>
    </row>
    <row r="33" ht="14.25" customHeight="1">
      <c r="A33" s="22" t="s">
        <v>373</v>
      </c>
      <c r="B33" s="23" t="s">
        <v>331</v>
      </c>
      <c r="C33" s="23" t="s">
        <v>22</v>
      </c>
      <c r="D33" s="23"/>
      <c r="E33" s="23"/>
      <c r="F33" s="23" t="s">
        <v>125</v>
      </c>
      <c r="G33" s="23"/>
      <c r="H33" s="23" t="s">
        <v>374</v>
      </c>
      <c r="I33" s="33"/>
      <c r="J33" s="36"/>
      <c r="K33" s="36"/>
      <c r="L33" s="36"/>
      <c r="M33" s="40">
        <v>0.995</v>
      </c>
      <c r="O33" s="43">
        <f>Lymph_subgroups_and_details!$C$118</f>
        <v>2000000000</v>
      </c>
      <c r="P33" s="43">
        <f>Lymph_subgroups_and_details!$D$118</f>
        <v>1000000000</v>
      </c>
      <c r="S33" s="44">
        <f t="shared" ref="S33:S34" si="12">O33*M33</f>
        <v>1990000000</v>
      </c>
      <c r="T33" s="44">
        <f t="shared" ref="T33:T34" si="13">M33*P33</f>
        <v>995000000</v>
      </c>
      <c r="U33" s="22">
        <f>Tissues!$D$7</f>
        <v>25</v>
      </c>
      <c r="V33" s="22"/>
      <c r="W33" s="25">
        <f t="shared" ref="W33:W34" si="14">S33/U33</f>
        <v>79600000</v>
      </c>
      <c r="X33" s="25">
        <f t="shared" ref="X33:X34" si="15">T33/U33</f>
        <v>39800000</v>
      </c>
      <c r="Y33" s="22" t="s">
        <v>375</v>
      </c>
      <c r="Z33" s="21"/>
      <c r="AA33" s="21"/>
      <c r="AB33" s="21"/>
      <c r="AC33" s="21"/>
    </row>
    <row r="34" ht="14.25" customHeight="1">
      <c r="A34" s="22" t="s">
        <v>373</v>
      </c>
      <c r="B34" s="23" t="s">
        <v>333</v>
      </c>
      <c r="C34" s="23" t="s">
        <v>22</v>
      </c>
      <c r="D34" s="23"/>
      <c r="E34" s="23"/>
      <c r="F34" s="23" t="s">
        <v>125</v>
      </c>
      <c r="G34" s="23"/>
      <c r="H34" s="23" t="s">
        <v>374</v>
      </c>
      <c r="I34" s="33"/>
      <c r="J34" s="36"/>
      <c r="K34" s="36"/>
      <c r="L34" s="36"/>
      <c r="M34" s="40">
        <v>0.005</v>
      </c>
      <c r="O34" s="43">
        <f>Lymph_subgroups_and_details!$C$118</f>
        <v>2000000000</v>
      </c>
      <c r="P34" s="43">
        <f>Lymph_subgroups_and_details!$D$118</f>
        <v>1000000000</v>
      </c>
      <c r="S34" s="44">
        <f t="shared" si="12"/>
        <v>10000000</v>
      </c>
      <c r="T34" s="44">
        <f t="shared" si="13"/>
        <v>5000000</v>
      </c>
      <c r="U34" s="22">
        <f>Tissues!$D$7</f>
        <v>25</v>
      </c>
      <c r="V34" s="22"/>
      <c r="W34" s="25">
        <f t="shared" si="14"/>
        <v>400000</v>
      </c>
      <c r="X34" s="25">
        <f t="shared" si="15"/>
        <v>200000</v>
      </c>
      <c r="Y34" s="22" t="s">
        <v>375</v>
      </c>
      <c r="Z34" s="21"/>
      <c r="AA34" s="21"/>
      <c r="AB34" s="21"/>
      <c r="AC34" s="21"/>
    </row>
    <row r="35" ht="14.25" customHeight="1">
      <c r="A35" s="22" t="s">
        <v>376</v>
      </c>
      <c r="B35" s="24" t="s">
        <v>338</v>
      </c>
      <c r="C35" s="23" t="s">
        <v>25</v>
      </c>
      <c r="D35" s="23"/>
      <c r="E35" s="23"/>
      <c r="F35" s="23" t="s">
        <v>125</v>
      </c>
      <c r="G35" s="23"/>
      <c r="H35" s="23" t="s">
        <v>377</v>
      </c>
      <c r="I35" s="33"/>
      <c r="J35" s="36"/>
      <c r="K35" s="36"/>
      <c r="L35" s="36"/>
      <c r="M35" s="38"/>
      <c r="N35" s="38"/>
      <c r="O35" s="35"/>
      <c r="P35" s="35"/>
      <c r="Q35" s="21"/>
      <c r="R35" s="21"/>
      <c r="S35" s="22"/>
      <c r="T35" s="22"/>
      <c r="U35" s="22"/>
      <c r="V35" s="22"/>
      <c r="W35" s="25">
        <v>1.0E7</v>
      </c>
      <c r="X35" s="25">
        <v>6000000.0</v>
      </c>
      <c r="Y35" s="22" t="s">
        <v>378</v>
      </c>
      <c r="Z35" s="21"/>
      <c r="AA35" s="21"/>
      <c r="AB35" s="21"/>
      <c r="AC35" s="21"/>
    </row>
    <row r="36" ht="14.25" customHeight="1">
      <c r="A36" s="5" t="s">
        <v>341</v>
      </c>
      <c r="B36" s="23" t="s">
        <v>331</v>
      </c>
      <c r="C36" s="23" t="s">
        <v>25</v>
      </c>
      <c r="D36" s="23"/>
      <c r="E36" s="23"/>
      <c r="F36" s="23" t="s">
        <v>125</v>
      </c>
      <c r="G36" s="23"/>
      <c r="H36" s="45" t="s">
        <v>379</v>
      </c>
      <c r="I36" s="45"/>
      <c r="J36" s="36"/>
      <c r="K36" s="36"/>
      <c r="L36" s="36"/>
      <c r="M36" s="40">
        <f>Lymph_subgroups_and_details!H133</f>
        <v>0.5038115872</v>
      </c>
      <c r="N36" s="41">
        <f>Lymph_subgroups_and_details!I133</f>
        <v>0.09888982122</v>
      </c>
      <c r="O36" s="35"/>
      <c r="P36" s="35"/>
      <c r="Q36" s="21"/>
      <c r="R36" s="21"/>
      <c r="S36" s="22"/>
      <c r="T36" s="22"/>
      <c r="U36" s="22"/>
      <c r="V36" s="22"/>
      <c r="W36" s="25"/>
      <c r="X36" s="25"/>
      <c r="Y36" s="21" t="s">
        <v>347</v>
      </c>
      <c r="Z36" s="21"/>
      <c r="AA36" s="21"/>
      <c r="AB36" s="21"/>
      <c r="AC36" s="21"/>
    </row>
    <row r="37" ht="14.25" customHeight="1">
      <c r="A37" s="5" t="s">
        <v>341</v>
      </c>
      <c r="B37" s="23" t="s">
        <v>333</v>
      </c>
      <c r="C37" s="23" t="s">
        <v>25</v>
      </c>
      <c r="D37" s="23"/>
      <c r="E37" s="23"/>
      <c r="F37" s="23" t="s">
        <v>125</v>
      </c>
      <c r="G37" s="23"/>
      <c r="H37" s="45" t="s">
        <v>379</v>
      </c>
      <c r="I37" s="33"/>
      <c r="J37" s="36"/>
      <c r="K37" s="36"/>
      <c r="L37" s="36"/>
      <c r="M37" s="40">
        <f>Lymph_subgroups_and_details!H134</f>
        <v>0.1185136147</v>
      </c>
      <c r="N37" s="41">
        <f>Lymph_subgroups_and_details!I134</f>
        <v>0.03555929582</v>
      </c>
      <c r="O37" s="35"/>
      <c r="P37" s="35"/>
      <c r="Q37" s="21"/>
      <c r="R37" s="21"/>
      <c r="S37" s="22"/>
      <c r="T37" s="22"/>
      <c r="U37" s="22"/>
      <c r="V37" s="22"/>
      <c r="W37" s="25"/>
      <c r="X37" s="25"/>
      <c r="Y37" s="21" t="s">
        <v>347</v>
      </c>
      <c r="Z37" s="21"/>
      <c r="AA37" s="21"/>
      <c r="AB37" s="21"/>
      <c r="AC37" s="21"/>
    </row>
    <row r="38" ht="14.25" customHeight="1">
      <c r="A38" s="5" t="s">
        <v>341</v>
      </c>
      <c r="B38" s="23" t="s">
        <v>334</v>
      </c>
      <c r="C38" s="23" t="s">
        <v>25</v>
      </c>
      <c r="D38" s="23"/>
      <c r="E38" s="23"/>
      <c r="F38" s="23" t="s">
        <v>125</v>
      </c>
      <c r="G38" s="23"/>
      <c r="H38" s="45" t="s">
        <v>379</v>
      </c>
      <c r="I38" s="33"/>
      <c r="J38" s="36"/>
      <c r="K38" s="36"/>
      <c r="L38" s="36"/>
      <c r="M38" s="40">
        <f>Lymph_subgroups_and_details!H135</f>
        <v>0.3776747981</v>
      </c>
      <c r="N38" s="41">
        <f>Lymph_subgroups_and_details!I135</f>
        <v>0.1335212353</v>
      </c>
      <c r="O38" s="35"/>
      <c r="P38" s="35"/>
      <c r="Q38" s="21"/>
      <c r="R38" s="21"/>
      <c r="S38" s="22"/>
      <c r="T38" s="22"/>
      <c r="U38" s="22"/>
      <c r="V38" s="22"/>
      <c r="W38" s="25"/>
      <c r="X38" s="25"/>
      <c r="Y38" s="21" t="s">
        <v>347</v>
      </c>
      <c r="Z38" s="21"/>
      <c r="AA38" s="21"/>
      <c r="AB38" s="21"/>
      <c r="AC38" s="21"/>
    </row>
    <row r="39" ht="14.25" customHeight="1">
      <c r="A39" s="22" t="s">
        <v>380</v>
      </c>
      <c r="B39" s="23" t="s">
        <v>331</v>
      </c>
      <c r="C39" s="22" t="s">
        <v>37</v>
      </c>
      <c r="D39" s="23"/>
      <c r="E39" s="23"/>
      <c r="F39" s="23" t="s">
        <v>125</v>
      </c>
      <c r="G39" s="23"/>
      <c r="H39" s="23" t="s">
        <v>381</v>
      </c>
      <c r="I39" s="33">
        <f>500*500</f>
        <v>250000</v>
      </c>
      <c r="J39" s="46">
        <v>12.0</v>
      </c>
      <c r="K39" s="36"/>
      <c r="L39" s="36"/>
      <c r="M39" s="38"/>
      <c r="N39" s="38"/>
      <c r="O39" s="35"/>
      <c r="P39" s="35"/>
      <c r="Q39" s="21"/>
      <c r="R39" s="21"/>
      <c r="S39" s="22"/>
      <c r="T39" s="22"/>
      <c r="U39" s="22"/>
      <c r="V39" s="22"/>
      <c r="W39" s="25">
        <f>9400*1000</f>
        <v>9400000</v>
      </c>
      <c r="X39" s="25">
        <f>200*1000</f>
        <v>200000</v>
      </c>
      <c r="Y39" s="22" t="s">
        <v>382</v>
      </c>
      <c r="Z39" s="21"/>
      <c r="AA39" s="21"/>
      <c r="AB39" s="21"/>
      <c r="AC39" s="21"/>
    </row>
    <row r="40" ht="14.25" customHeight="1">
      <c r="A40" s="21" t="s">
        <v>383</v>
      </c>
      <c r="B40" s="23" t="s">
        <v>333</v>
      </c>
      <c r="C40" s="22" t="s">
        <v>37</v>
      </c>
      <c r="D40" s="23"/>
      <c r="E40" s="23"/>
      <c r="F40" s="23" t="s">
        <v>125</v>
      </c>
      <c r="G40" s="23"/>
      <c r="H40" s="23" t="s">
        <v>370</v>
      </c>
      <c r="I40" s="33"/>
      <c r="J40" s="36"/>
      <c r="K40" s="36"/>
      <c r="L40" s="36"/>
      <c r="M40" s="38">
        <f>1/Lymph_subgroups_and_details!C139</f>
        <v>0.1267566471</v>
      </c>
      <c r="N40" s="38">
        <f>Lymph_subgroups_and_details!D139/Lymph_subgroups_and_details!C139*M40</f>
        <v>0.02508921518</v>
      </c>
      <c r="O40" s="35"/>
      <c r="P40" s="35"/>
      <c r="Q40" s="30">
        <f t="shared" ref="Q40:R40" si="16">W39</f>
        <v>9400000</v>
      </c>
      <c r="R40" s="30">
        <f t="shared" si="16"/>
        <v>200000</v>
      </c>
      <c r="S40" s="22"/>
      <c r="T40" s="22"/>
      <c r="U40" s="22"/>
      <c r="V40" s="22"/>
      <c r="W40" s="30">
        <f t="shared" ref="W40:W41" si="17">Q40*M40</f>
        <v>1191512.483</v>
      </c>
      <c r="X40" s="30">
        <f t="shared" ref="X40:X41" si="18">sqrt(sumsq(M40*R40,N40*Q40))</f>
        <v>237197.272</v>
      </c>
      <c r="Y40" s="22" t="s">
        <v>384</v>
      </c>
      <c r="Z40" s="21"/>
      <c r="AA40" s="21"/>
      <c r="AB40" s="21"/>
      <c r="AC40" s="21"/>
    </row>
    <row r="41" ht="14.25" customHeight="1">
      <c r="A41" s="21" t="s">
        <v>385</v>
      </c>
      <c r="B41" s="23" t="s">
        <v>334</v>
      </c>
      <c r="C41" s="22" t="s">
        <v>37</v>
      </c>
      <c r="D41" s="23"/>
      <c r="E41" s="23"/>
      <c r="F41" s="23" t="s">
        <v>125</v>
      </c>
      <c r="G41" s="23"/>
      <c r="H41" s="23" t="s">
        <v>370</v>
      </c>
      <c r="I41" s="33"/>
      <c r="J41" s="36"/>
      <c r="K41" s="36"/>
      <c r="L41" s="36"/>
      <c r="M41" s="38">
        <f>Lymph_subgroups_and_details!C143</f>
        <v>0.1417824074</v>
      </c>
      <c r="N41" s="38">
        <f>Lymph_subgroups_and_details!D143</f>
        <v>0.07291666667</v>
      </c>
      <c r="O41" s="35"/>
      <c r="P41" s="35"/>
      <c r="Q41" s="30">
        <f>Q40+W40/(1-M41)</f>
        <v>10788357.09</v>
      </c>
      <c r="R41" s="30">
        <f>sqrt(sumsq(R40,X40))</f>
        <v>310262.06</v>
      </c>
      <c r="S41" s="22"/>
      <c r="T41" s="22"/>
      <c r="U41" s="22"/>
      <c r="V41" s="22"/>
      <c r="W41" s="30">
        <f t="shared" si="17"/>
        <v>1529599.241</v>
      </c>
      <c r="X41" s="30">
        <f t="shared" si="18"/>
        <v>787880.035</v>
      </c>
      <c r="Y41" s="22" t="s">
        <v>386</v>
      </c>
      <c r="Z41" s="21"/>
      <c r="AA41" s="21"/>
      <c r="AB41" s="21"/>
      <c r="AC41" s="21"/>
    </row>
    <row r="42" ht="14.25" customHeight="1">
      <c r="A42" s="21" t="s">
        <v>260</v>
      </c>
      <c r="B42" s="21" t="s">
        <v>335</v>
      </c>
      <c r="C42" s="22" t="s">
        <v>37</v>
      </c>
      <c r="E42" s="23"/>
      <c r="F42" s="23" t="s">
        <v>125</v>
      </c>
      <c r="G42" s="23"/>
      <c r="H42" s="23" t="s">
        <v>381</v>
      </c>
      <c r="I42" s="33"/>
      <c r="J42" s="36"/>
      <c r="K42" s="36"/>
      <c r="L42" s="36"/>
      <c r="M42" s="38"/>
      <c r="N42" s="38"/>
      <c r="O42" s="35"/>
      <c r="P42" s="35"/>
      <c r="Q42" s="44">
        <f>2*10^9</f>
        <v>2000000000</v>
      </c>
      <c r="R42" s="35">
        <f>0.3*Q42</f>
        <v>600000000</v>
      </c>
      <c r="U42" s="22">
        <f>Tissues!D20</f>
        <v>540</v>
      </c>
      <c r="V42" s="22"/>
      <c r="W42" s="25">
        <f t="shared" ref="W42:W43" si="19">Q42/U42</f>
        <v>3703703.704</v>
      </c>
      <c r="X42" s="25">
        <f t="shared" ref="X42:X43" si="20">R42/U42</f>
        <v>1111111.111</v>
      </c>
      <c r="Y42" s="22" t="s">
        <v>387</v>
      </c>
      <c r="Z42" s="21"/>
      <c r="AA42" s="21"/>
      <c r="AB42" s="21"/>
      <c r="AC42" s="21"/>
    </row>
    <row r="43" ht="14.25" customHeight="1">
      <c r="A43" s="21" t="s">
        <v>388</v>
      </c>
      <c r="B43" s="21" t="s">
        <v>331</v>
      </c>
      <c r="C43" s="21" t="s">
        <v>46</v>
      </c>
      <c r="D43" s="21"/>
      <c r="E43" s="23"/>
      <c r="F43" s="23" t="s">
        <v>125</v>
      </c>
      <c r="G43" s="23"/>
      <c r="H43" s="23" t="s">
        <v>370</v>
      </c>
      <c r="I43" s="33">
        <f>10^8</f>
        <v>100000000</v>
      </c>
      <c r="J43" s="36">
        <f>AVERAGE(1.04,1.18)*10^6</f>
        <v>1110000</v>
      </c>
      <c r="K43" s="36">
        <v>140000.0</v>
      </c>
      <c r="L43" s="36"/>
      <c r="M43" s="38"/>
      <c r="N43" s="38"/>
      <c r="O43" s="35"/>
      <c r="P43" s="35"/>
      <c r="Q43" s="35">
        <f>1.9*10^4*J43</f>
        <v>21090000000</v>
      </c>
      <c r="R43" s="35">
        <f>sqrt(sumsq(1.9*10^4*K43, 0.1*10^4*J43))</f>
        <v>2882308103</v>
      </c>
      <c r="U43" s="22">
        <f>sum(Tissues!$D$25:$D$26)</f>
        <v>2600</v>
      </c>
      <c r="V43" s="22"/>
      <c r="W43" s="25">
        <f t="shared" si="19"/>
        <v>8111538.462</v>
      </c>
      <c r="X43" s="25">
        <f t="shared" si="20"/>
        <v>1108580.04</v>
      </c>
      <c r="Y43" s="22" t="s">
        <v>389</v>
      </c>
      <c r="Z43" s="21"/>
      <c r="AA43" s="21"/>
      <c r="AB43" s="21"/>
      <c r="AC43" s="21"/>
    </row>
    <row r="44" ht="14.25" customHeight="1">
      <c r="A44" s="22" t="s">
        <v>390</v>
      </c>
      <c r="B44" s="23" t="s">
        <v>333</v>
      </c>
      <c r="C44" s="21" t="s">
        <v>46</v>
      </c>
      <c r="D44" s="23"/>
      <c r="E44" s="23"/>
      <c r="F44" s="23" t="s">
        <v>125</v>
      </c>
      <c r="G44" s="23"/>
      <c r="H44" s="23" t="s">
        <v>370</v>
      </c>
      <c r="I44" s="33"/>
      <c r="J44" s="36"/>
      <c r="K44" s="36"/>
      <c r="L44" s="36"/>
      <c r="M44" s="38">
        <f>0.025/0.975</f>
        <v>0.02564102564</v>
      </c>
      <c r="N44" s="32">
        <v>0.01</v>
      </c>
      <c r="O44" s="35"/>
      <c r="P44" s="35"/>
      <c r="Q44" s="47">
        <f t="shared" ref="Q44:R44" si="21">W43</f>
        <v>8111538.462</v>
      </c>
      <c r="R44" s="47">
        <f t="shared" si="21"/>
        <v>1108580.04</v>
      </c>
      <c r="U44" s="22">
        <f>sum(Tissues!$D$25:$D$26)</f>
        <v>2600</v>
      </c>
      <c r="V44" s="22"/>
      <c r="W44" s="25">
        <f>Q44*M44</f>
        <v>207988.1657</v>
      </c>
      <c r="X44" s="25">
        <f>sqrt(sumsq(N44*Q44,R44*M44))</f>
        <v>85951.69337</v>
      </c>
      <c r="Y44" s="22" t="s">
        <v>391</v>
      </c>
      <c r="Z44" s="21"/>
      <c r="AA44" s="21"/>
      <c r="AB44" s="21"/>
      <c r="AC44" s="21"/>
    </row>
    <row r="45" ht="14.25" customHeight="1">
      <c r="A45" s="22" t="s">
        <v>392</v>
      </c>
      <c r="B45" s="22" t="s">
        <v>335</v>
      </c>
      <c r="C45" s="22" t="s">
        <v>46</v>
      </c>
      <c r="D45" s="22"/>
      <c r="E45" s="22" t="s">
        <v>159</v>
      </c>
      <c r="F45" s="22" t="s">
        <v>125</v>
      </c>
      <c r="G45" s="22" t="s">
        <v>393</v>
      </c>
      <c r="H45" s="22" t="s">
        <v>155</v>
      </c>
      <c r="I45" s="38"/>
      <c r="J45" s="38"/>
      <c r="K45" s="38"/>
      <c r="L45" s="38"/>
      <c r="M45" s="31">
        <f> 2*10^-4</f>
        <v>0.0002</v>
      </c>
      <c r="N45" s="28">
        <f>M45*50%</f>
        <v>0.0001</v>
      </c>
      <c r="O45" s="25">
        <f>1.3*10^11 + 1*10^8*0.01*18500 + 3*10^6*0.09*18500</f>
        <v>153495000000</v>
      </c>
      <c r="P45" s="33">
        <f>sqrt(sumsq(39000000000, 10^10))</f>
        <v>40261644278</v>
      </c>
      <c r="Q45" s="21"/>
      <c r="R45" s="21"/>
      <c r="S45" s="25">
        <f t="shared" ref="S45:S47" si="22">M45*O45</f>
        <v>30699000</v>
      </c>
      <c r="T45" s="25">
        <f>S45*sqrt(sumsq(N45/M45,P45/O45))</f>
        <v>17333411.39</v>
      </c>
      <c r="U45" s="46">
        <f>2500</f>
        <v>2500</v>
      </c>
      <c r="V45" s="22"/>
      <c r="W45" s="25">
        <f t="shared" ref="W45:W47" si="23">S45/U45</f>
        <v>12279.6</v>
      </c>
      <c r="X45" s="25">
        <f t="shared" ref="X45:X47" si="24">sqrt(sumsq(V45/U45,T45/S45))*W45</f>
        <v>6933.364554</v>
      </c>
      <c r="Y45" s="26" t="s">
        <v>394</v>
      </c>
      <c r="Z45" s="21"/>
      <c r="AA45" s="21"/>
      <c r="AB45" s="21"/>
      <c r="AC45" s="21"/>
    </row>
    <row r="46" ht="14.25" customHeight="1">
      <c r="A46" s="22" t="s">
        <v>395</v>
      </c>
      <c r="B46" s="23" t="s">
        <v>331</v>
      </c>
      <c r="C46" s="22" t="s">
        <v>34</v>
      </c>
      <c r="D46" s="23" t="s">
        <v>30</v>
      </c>
      <c r="E46" s="23"/>
      <c r="F46" s="22" t="s">
        <v>125</v>
      </c>
      <c r="G46" s="23"/>
      <c r="H46" s="23" t="s">
        <v>381</v>
      </c>
      <c r="I46" s="33"/>
      <c r="J46" s="36"/>
      <c r="K46" s="36"/>
      <c r="L46" s="36"/>
      <c r="M46" s="48">
        <f>average(0.13,0.2)/2</f>
        <v>0.0825</v>
      </c>
      <c r="N46" s="48">
        <f>average(0.03,0.02)/2</f>
        <v>0.0125</v>
      </c>
      <c r="O46" s="23">
        <v>1.2E11</v>
      </c>
      <c r="P46" s="35">
        <v>1.979898987322333E10</v>
      </c>
      <c r="S46" s="29">
        <f t="shared" si="22"/>
        <v>9900000000</v>
      </c>
      <c r="T46" s="29">
        <f t="shared" ref="T46:T47" si="25">sqrt(sumsq(N46*O46,P46*M46))</f>
        <v>2217667694</v>
      </c>
      <c r="U46" s="49">
        <f>GIT_dimensions!V9*GIT_dimensions!$B$17</f>
        <v>165.2059071</v>
      </c>
      <c r="V46" s="49">
        <f>GIT_dimensions!W9*GIT_dimensions!$B$17</f>
        <v>23.37902022</v>
      </c>
      <c r="W46" s="25">
        <f t="shared" si="23"/>
        <v>59925218.01</v>
      </c>
      <c r="X46" s="25">
        <f t="shared" si="24"/>
        <v>15877966.29</v>
      </c>
      <c r="Y46" s="22" t="s">
        <v>396</v>
      </c>
      <c r="Z46" s="21"/>
      <c r="AA46" s="21"/>
      <c r="AB46" s="21"/>
      <c r="AC46" s="21"/>
    </row>
    <row r="47" ht="14.25" customHeight="1">
      <c r="A47" s="22" t="s">
        <v>395</v>
      </c>
      <c r="B47" s="23" t="s">
        <v>331</v>
      </c>
      <c r="C47" s="23" t="s">
        <v>35</v>
      </c>
      <c r="D47" s="23" t="s">
        <v>30</v>
      </c>
      <c r="E47" s="23"/>
      <c r="F47" s="22" t="s">
        <v>125</v>
      </c>
      <c r="G47" s="23"/>
      <c r="H47" s="23" t="s">
        <v>381</v>
      </c>
      <c r="I47" s="33"/>
      <c r="J47" s="36"/>
      <c r="K47" s="36"/>
      <c r="L47" s="36"/>
      <c r="M47" s="48">
        <f>0.05/2</f>
        <v>0.025</v>
      </c>
      <c r="N47" s="48">
        <f>0.01/2</f>
        <v>0.005</v>
      </c>
      <c r="O47" s="23">
        <v>6.0E10</v>
      </c>
      <c r="P47" s="35">
        <v>2.0E10</v>
      </c>
      <c r="S47" s="29">
        <f t="shared" si="22"/>
        <v>1500000000</v>
      </c>
      <c r="T47" s="29">
        <f t="shared" si="25"/>
        <v>583095189.5</v>
      </c>
      <c r="U47" s="49">
        <f>GIT_dimensions!V10*GIT_dimensions!$B$17</f>
        <v>75.07292559</v>
      </c>
      <c r="V47" s="49">
        <f>GIT_dimensions!W10*GIT_dimensions!$B$17</f>
        <v>16.41966583</v>
      </c>
      <c r="W47" s="25">
        <f t="shared" si="23"/>
        <v>19980572.07</v>
      </c>
      <c r="X47" s="25">
        <f t="shared" si="24"/>
        <v>8912049.487</v>
      </c>
      <c r="Y47" s="22" t="s">
        <v>396</v>
      </c>
      <c r="Z47" s="21"/>
      <c r="AA47" s="21"/>
      <c r="AB47" s="21"/>
      <c r="AC47" s="21"/>
    </row>
    <row r="48" ht="14.25" customHeight="1">
      <c r="A48" s="22" t="s">
        <v>397</v>
      </c>
      <c r="B48" s="23" t="s">
        <v>331</v>
      </c>
      <c r="C48" s="23" t="s">
        <v>35</v>
      </c>
      <c r="D48" s="23" t="s">
        <v>32</v>
      </c>
      <c r="E48" s="23"/>
      <c r="F48" s="23" t="s">
        <v>125</v>
      </c>
      <c r="G48" s="23"/>
      <c r="H48" s="23" t="s">
        <v>142</v>
      </c>
      <c r="I48" s="33"/>
      <c r="J48" s="36"/>
      <c r="K48" s="36"/>
      <c r="L48" s="36"/>
      <c r="M48" s="38"/>
      <c r="N48" s="38"/>
      <c r="O48" s="35"/>
      <c r="P48" s="35"/>
      <c r="Q48" s="21"/>
      <c r="R48" s="21"/>
      <c r="S48" s="22"/>
      <c r="T48" s="22"/>
      <c r="U48" s="22"/>
      <c r="V48" s="22"/>
      <c r="W48" s="25">
        <f>average(5,5)*10^7</f>
        <v>50000000</v>
      </c>
      <c r="X48" s="25">
        <f>sqrt(sumsq(stdev(5,5), average(0.9,1)))*10^7</f>
        <v>9500000</v>
      </c>
      <c r="Y48" s="22" t="s">
        <v>398</v>
      </c>
      <c r="Z48" s="21"/>
      <c r="AA48" s="21"/>
      <c r="AB48" s="21"/>
      <c r="AC48" s="21"/>
    </row>
    <row r="49" ht="14.25" customHeight="1">
      <c r="A49" s="22" t="s">
        <v>397</v>
      </c>
      <c r="B49" s="23" t="s">
        <v>331</v>
      </c>
      <c r="C49" s="23" t="s">
        <v>35</v>
      </c>
      <c r="D49" s="23" t="s">
        <v>399</v>
      </c>
      <c r="F49" s="23" t="s">
        <v>125</v>
      </c>
      <c r="H49" s="23" t="s">
        <v>142</v>
      </c>
      <c r="I49" s="33"/>
      <c r="J49" s="36"/>
      <c r="K49" s="36"/>
      <c r="L49" s="36"/>
      <c r="M49" s="23"/>
      <c r="N49" s="23"/>
      <c r="O49" s="35"/>
      <c r="P49" s="35"/>
      <c r="Q49" s="24"/>
      <c r="R49" s="24"/>
      <c r="S49" s="23"/>
      <c r="T49" s="22"/>
      <c r="U49" s="22"/>
      <c r="V49" s="22"/>
      <c r="W49" s="25">
        <f>10^8</f>
        <v>100000000</v>
      </c>
      <c r="X49" s="25">
        <f>average(2,3)*10^7</f>
        <v>25000000</v>
      </c>
      <c r="Y49" s="22" t="s">
        <v>398</v>
      </c>
      <c r="Z49" s="21"/>
      <c r="AA49" s="21"/>
      <c r="AB49" s="21"/>
      <c r="AC49" s="21"/>
    </row>
    <row r="50" ht="14.25" customHeight="1">
      <c r="A50" s="22" t="s">
        <v>400</v>
      </c>
      <c r="B50" s="23" t="s">
        <v>331</v>
      </c>
      <c r="C50" s="23" t="s">
        <v>35</v>
      </c>
      <c r="D50" s="23" t="s">
        <v>30</v>
      </c>
      <c r="F50" s="23" t="s">
        <v>125</v>
      </c>
      <c r="H50" s="48" t="s">
        <v>401</v>
      </c>
      <c r="I50" s="46">
        <v>10000.0</v>
      </c>
      <c r="J50" s="46">
        <f>2.68*10^6/I50</f>
        <v>268</v>
      </c>
      <c r="K50" s="50">
        <v>37.3825989755431</v>
      </c>
      <c r="L50" s="50">
        <v>3.134788536894</v>
      </c>
      <c r="M50" s="23"/>
      <c r="N50" s="23"/>
      <c r="O50" s="35"/>
      <c r="P50" s="35"/>
      <c r="Q50" s="24"/>
      <c r="R50" s="24"/>
      <c r="S50" s="23"/>
      <c r="T50" s="22"/>
      <c r="U50" s="22"/>
      <c r="V50" s="22"/>
      <c r="W50" s="25">
        <f>K50/($J50*$I50) * 10^12/GIT_dimensions!$B$17</f>
        <v>13412241.31</v>
      </c>
      <c r="X50" s="25">
        <f>L50/($J50*$I50) * 10^12/GIT_dimensions!$B$17</f>
        <v>1124708.861</v>
      </c>
      <c r="Y50" s="22" t="s">
        <v>402</v>
      </c>
      <c r="Z50" s="21"/>
      <c r="AA50" s="21"/>
      <c r="AB50" s="21"/>
      <c r="AC50" s="21"/>
    </row>
    <row r="51" ht="14.25" customHeight="1">
      <c r="A51" s="22" t="s">
        <v>400</v>
      </c>
      <c r="B51" s="23" t="s">
        <v>331</v>
      </c>
      <c r="C51" s="23" t="s">
        <v>35</v>
      </c>
      <c r="D51" s="23" t="s">
        <v>32</v>
      </c>
      <c r="F51" s="23" t="s">
        <v>125</v>
      </c>
      <c r="H51" s="48" t="s">
        <v>401</v>
      </c>
      <c r="I51" s="46">
        <v>10000.0</v>
      </c>
      <c r="J51" s="46">
        <f t="shared" ref="J51:J52" si="26">2.1*10^6/I51</f>
        <v>210</v>
      </c>
      <c r="K51" s="49">
        <v>93.9247503347296</v>
      </c>
      <c r="L51" s="49">
        <v>7.837954034565399</v>
      </c>
      <c r="M51" s="23"/>
      <c r="N51" s="23"/>
      <c r="O51" s="35"/>
      <c r="P51" s="35"/>
      <c r="Q51" s="24"/>
      <c r="R51" s="24"/>
      <c r="S51" s="23"/>
      <c r="T51" s="22"/>
      <c r="U51" s="22"/>
      <c r="V51" s="22"/>
      <c r="W51" s="25">
        <f>K51/($J51*$I51) * 10^12/GIT_dimensions!$B$17</f>
        <v>43005838.07</v>
      </c>
      <c r="X51" s="25">
        <f>L51/($J51*$I51) * 10^12/GIT_dimensions!$B$17</f>
        <v>3588806.792</v>
      </c>
      <c r="Y51" s="22" t="s">
        <v>402</v>
      </c>
      <c r="Z51" s="21"/>
      <c r="AA51" s="21"/>
      <c r="AB51" s="21"/>
      <c r="AC51" s="21"/>
    </row>
    <row r="52" ht="14.25" customHeight="1">
      <c r="A52" s="45" t="s">
        <v>400</v>
      </c>
      <c r="B52" s="22" t="s">
        <v>335</v>
      </c>
      <c r="C52" s="51" t="s">
        <v>35</v>
      </c>
      <c r="D52" s="23" t="s">
        <v>32</v>
      </c>
      <c r="E52" s="23"/>
      <c r="F52" s="23" t="s">
        <v>125</v>
      </c>
      <c r="G52" s="52"/>
      <c r="H52" s="53" t="s">
        <v>401</v>
      </c>
      <c r="I52" s="46">
        <v>10000.0</v>
      </c>
      <c r="J52" s="46">
        <f t="shared" si="26"/>
        <v>210</v>
      </c>
      <c r="K52" s="54">
        <v>330.0</v>
      </c>
      <c r="L52" s="54">
        <v>30.0</v>
      </c>
      <c r="M52" s="38"/>
      <c r="N52" s="38"/>
      <c r="O52" s="35"/>
      <c r="P52" s="35"/>
      <c r="Q52" s="21"/>
      <c r="R52" s="21"/>
      <c r="S52" s="22"/>
      <c r="T52" s="22"/>
      <c r="U52" s="22"/>
      <c r="V52" s="22"/>
      <c r="W52" s="25">
        <f>K52/($J52*$I52) * 10^12/GIT_dimensions!$B$17</f>
        <v>151098901.1</v>
      </c>
      <c r="X52" s="25">
        <f>L52/($J52*$I52) * 10^12/GIT_dimensions!$B$17</f>
        <v>13736263.74</v>
      </c>
      <c r="Y52" s="22" t="s">
        <v>402</v>
      </c>
      <c r="Z52" s="21"/>
      <c r="AA52" s="21"/>
      <c r="AB52" s="21"/>
      <c r="AC52" s="21"/>
    </row>
    <row r="53" ht="14.25" customHeight="1">
      <c r="A53" s="22" t="s">
        <v>403</v>
      </c>
      <c r="B53" s="23" t="s">
        <v>331</v>
      </c>
      <c r="C53" s="23" t="s">
        <v>34</v>
      </c>
      <c r="D53" s="23" t="s">
        <v>32</v>
      </c>
      <c r="E53" s="23"/>
      <c r="F53" s="23" t="s">
        <v>125</v>
      </c>
      <c r="G53" s="23" t="s">
        <v>404</v>
      </c>
      <c r="H53" s="23" t="s">
        <v>370</v>
      </c>
      <c r="I53" s="47"/>
      <c r="J53" s="47"/>
      <c r="K53" s="47"/>
      <c r="L53" s="47"/>
      <c r="M53" s="38"/>
      <c r="N53" s="38"/>
      <c r="O53" s="35"/>
      <c r="P53" s="35"/>
      <c r="Q53" s="21"/>
      <c r="R53" s="21"/>
      <c r="S53" s="22"/>
      <c r="T53" s="22"/>
      <c r="U53" s="22"/>
      <c r="V53" s="22"/>
      <c r="W53" s="33">
        <v>9879921.99626041</v>
      </c>
      <c r="X53" s="33">
        <v>1722364.3533205336</v>
      </c>
      <c r="Y53" s="22" t="s">
        <v>405</v>
      </c>
      <c r="Z53" s="21"/>
      <c r="AA53" s="21"/>
      <c r="AB53" s="21"/>
      <c r="AC53" s="21"/>
    </row>
    <row r="54" ht="14.25" customHeight="1">
      <c r="A54" s="22" t="s">
        <v>403</v>
      </c>
      <c r="B54" s="23" t="s">
        <v>331</v>
      </c>
      <c r="C54" s="23" t="s">
        <v>35</v>
      </c>
      <c r="D54" s="23" t="s">
        <v>32</v>
      </c>
      <c r="E54" s="23"/>
      <c r="F54" s="23" t="s">
        <v>125</v>
      </c>
      <c r="G54" s="23" t="s">
        <v>404</v>
      </c>
      <c r="H54" s="23" t="s">
        <v>370</v>
      </c>
      <c r="I54" s="47"/>
      <c r="J54" s="47"/>
      <c r="K54" s="47"/>
      <c r="L54" s="47"/>
      <c r="M54" s="38"/>
      <c r="N54" s="38"/>
      <c r="O54" s="35"/>
      <c r="P54" s="35"/>
      <c r="Q54" s="21"/>
      <c r="R54" s="21"/>
      <c r="S54" s="22"/>
      <c r="T54" s="22"/>
      <c r="U54" s="22"/>
      <c r="V54" s="22"/>
      <c r="W54" s="33">
        <v>2575013.2805797607</v>
      </c>
      <c r="X54" s="33">
        <v>737466.4856874018</v>
      </c>
      <c r="Y54" s="22" t="s">
        <v>406</v>
      </c>
      <c r="Z54" s="21"/>
      <c r="AA54" s="21"/>
      <c r="AB54" s="21"/>
      <c r="AC54" s="21"/>
    </row>
    <row r="55" ht="14.25" customHeight="1">
      <c r="A55" s="22" t="s">
        <v>407</v>
      </c>
      <c r="B55" s="22" t="s">
        <v>408</v>
      </c>
      <c r="C55" s="23" t="s">
        <v>34</v>
      </c>
      <c r="D55" s="23" t="s">
        <v>32</v>
      </c>
      <c r="E55" s="55"/>
      <c r="F55" s="23" t="s">
        <v>125</v>
      </c>
      <c r="G55" s="23"/>
      <c r="H55" s="23" t="s">
        <v>409</v>
      </c>
      <c r="I55" s="46">
        <v>3000.0</v>
      </c>
      <c r="J55" s="50">
        <f>AVERAGE(765,690)</f>
        <v>727.5</v>
      </c>
      <c r="K55" s="46">
        <f>average(45,128)</f>
        <v>86.5</v>
      </c>
      <c r="L55" s="49">
        <f>sqrt(sumsq(stdev(128,45), average(38,15)))</f>
        <v>64.3952638</v>
      </c>
      <c r="M55" s="38"/>
      <c r="N55" s="38"/>
      <c r="O55" s="35"/>
      <c r="P55" s="35"/>
      <c r="Q55" s="21"/>
      <c r="R55" s="21"/>
      <c r="S55" s="22"/>
      <c r="T55" s="22"/>
      <c r="U55" s="22"/>
      <c r="V55" s="22"/>
      <c r="W55" s="25">
        <f>K55/($J55*$I55) * 10^12/GIT_dimensions!$B$17</f>
        <v>38109084.5</v>
      </c>
      <c r="X55" s="25">
        <f>L55/($J55*$I55) * 10^12/GIT_dimensions!$B$17</f>
        <v>28370457.22</v>
      </c>
      <c r="Y55" s="22" t="s">
        <v>410</v>
      </c>
      <c r="Z55" s="21"/>
      <c r="AA55" s="21"/>
      <c r="AB55" s="21"/>
      <c r="AC55" s="21"/>
    </row>
    <row r="56" ht="14.25" customHeight="1">
      <c r="A56" s="22" t="s">
        <v>407</v>
      </c>
      <c r="B56" s="22" t="s">
        <v>408</v>
      </c>
      <c r="C56" s="23" t="s">
        <v>35</v>
      </c>
      <c r="D56" s="23" t="s">
        <v>32</v>
      </c>
      <c r="E56" s="55"/>
      <c r="F56" s="23" t="s">
        <v>125</v>
      </c>
      <c r="G56" s="23"/>
      <c r="H56" s="23" t="s">
        <v>409</v>
      </c>
      <c r="I56" s="46">
        <v>3000.0</v>
      </c>
      <c r="J56" s="46">
        <v>500.0</v>
      </c>
      <c r="K56" s="46">
        <v>143.0</v>
      </c>
      <c r="L56" s="22">
        <v>58.0</v>
      </c>
      <c r="M56" s="38"/>
      <c r="N56" s="38"/>
      <c r="O56" s="35"/>
      <c r="P56" s="35"/>
      <c r="Q56" s="21"/>
      <c r="R56" s="21"/>
      <c r="S56" s="22"/>
      <c r="T56" s="22"/>
      <c r="U56" s="22"/>
      <c r="V56" s="22"/>
      <c r="W56" s="25">
        <f>K56/($J56*$I56) * 10^12/GIT_dimensions!$B$17</f>
        <v>91666666.67</v>
      </c>
      <c r="X56" s="25">
        <f>L56/($J56*$I56) * 10^12/GIT_dimensions!$B$17</f>
        <v>37179487.18</v>
      </c>
      <c r="Y56" s="22"/>
      <c r="Z56" s="21"/>
      <c r="AA56" s="21"/>
      <c r="AB56" s="21"/>
      <c r="AC56" s="21"/>
    </row>
    <row r="57" ht="14.25" customHeight="1">
      <c r="A57" s="22" t="s">
        <v>411</v>
      </c>
      <c r="B57" s="22" t="s">
        <v>331</v>
      </c>
      <c r="C57" s="23" t="s">
        <v>34</v>
      </c>
      <c r="D57" s="23" t="s">
        <v>412</v>
      </c>
      <c r="E57" s="56"/>
      <c r="F57" s="23" t="s">
        <v>125</v>
      </c>
      <c r="G57" s="22" t="s">
        <v>413</v>
      </c>
      <c r="H57" s="23" t="s">
        <v>414</v>
      </c>
      <c r="I57" s="55"/>
      <c r="J57" s="47"/>
      <c r="K57" s="47"/>
      <c r="L57" s="47"/>
      <c r="M57" s="32">
        <f>43.4%/(sum(43.4%,37%,1%))</f>
        <v>0.5331695332</v>
      </c>
      <c r="N57" s="32">
        <f>3.6% /sum(43.4%,37%,1%)</f>
        <v>0.04422604423</v>
      </c>
      <c r="Q57" s="35">
        <v>1.7E8</v>
      </c>
      <c r="R57" s="35">
        <v>2.1E7</v>
      </c>
      <c r="S57" s="22"/>
      <c r="T57" s="22"/>
      <c r="U57" s="22"/>
      <c r="V57" s="22"/>
      <c r="W57" s="29">
        <f t="shared" ref="W57:W62" si="27">Q57*M57</f>
        <v>90638820.64</v>
      </c>
      <c r="X57" s="30">
        <f t="shared" ref="X57:X62" si="28">sqrt(sumsq(M57*R57,N57*Q57))</f>
        <v>13486649.42</v>
      </c>
      <c r="Y57" s="22" t="s">
        <v>415</v>
      </c>
      <c r="Z57" s="21"/>
      <c r="AA57" s="21"/>
      <c r="AB57" s="21"/>
      <c r="AC57" s="21"/>
    </row>
    <row r="58" ht="14.25" customHeight="1">
      <c r="A58" s="22" t="s">
        <v>411</v>
      </c>
      <c r="B58" s="22" t="s">
        <v>333</v>
      </c>
      <c r="C58" s="23" t="s">
        <v>34</v>
      </c>
      <c r="D58" s="23" t="s">
        <v>412</v>
      </c>
      <c r="E58" s="56"/>
      <c r="F58" s="23" t="s">
        <v>125</v>
      </c>
      <c r="G58" s="22" t="s">
        <v>413</v>
      </c>
      <c r="H58" s="23" t="s">
        <v>414</v>
      </c>
      <c r="I58" s="55"/>
      <c r="J58" s="47"/>
      <c r="K58" s="47"/>
      <c r="L58" s="47"/>
      <c r="M58" s="32">
        <f>37%/(sum(43.4%,37%,1%))</f>
        <v>0.4545454545</v>
      </c>
      <c r="N58" s="32">
        <f>5.3% /sum(43.4%,37%,1%)</f>
        <v>0.06511056511</v>
      </c>
      <c r="Q58" s="35">
        <v>1.7E8</v>
      </c>
      <c r="R58" s="35">
        <v>2.1E7</v>
      </c>
      <c r="S58" s="22"/>
      <c r="T58" s="22"/>
      <c r="U58" s="22"/>
      <c r="V58" s="22"/>
      <c r="W58" s="29">
        <f t="shared" si="27"/>
        <v>77272727.27</v>
      </c>
      <c r="X58" s="30">
        <f t="shared" si="28"/>
        <v>14616222.11</v>
      </c>
      <c r="Y58" s="22" t="s">
        <v>415</v>
      </c>
      <c r="Z58" s="21"/>
      <c r="AA58" s="21"/>
      <c r="AB58" s="21"/>
      <c r="AC58" s="21"/>
    </row>
    <row r="59" ht="14.25" customHeight="1">
      <c r="A59" s="22" t="s">
        <v>411</v>
      </c>
      <c r="B59" s="23" t="s">
        <v>408</v>
      </c>
      <c r="C59" s="23" t="s">
        <v>34</v>
      </c>
      <c r="D59" s="23" t="s">
        <v>412</v>
      </c>
      <c r="E59" s="56"/>
      <c r="F59" s="23" t="s">
        <v>125</v>
      </c>
      <c r="G59" s="22" t="s">
        <v>413</v>
      </c>
      <c r="H59" s="23" t="s">
        <v>414</v>
      </c>
      <c r="I59" s="57"/>
      <c r="J59" s="47"/>
      <c r="K59" s="47"/>
      <c r="M59" s="32">
        <f>1%/(sum(43.4%,37%,1%))</f>
        <v>0.01228501229</v>
      </c>
      <c r="N59" s="32">
        <f>0.5%/sum(43.4%,37%,1%)</f>
        <v>0.006142506143</v>
      </c>
      <c r="Q59" s="35">
        <v>1.7E8</v>
      </c>
      <c r="R59" s="35">
        <v>2.1E7</v>
      </c>
      <c r="S59" s="22"/>
      <c r="T59" s="22"/>
      <c r="U59" s="22"/>
      <c r="V59" s="22"/>
      <c r="W59" s="29">
        <f t="shared" si="27"/>
        <v>2088452.088</v>
      </c>
      <c r="X59" s="30">
        <f t="shared" si="28"/>
        <v>1075622.808</v>
      </c>
      <c r="Y59" s="22" t="s">
        <v>415</v>
      </c>
      <c r="Z59" s="21"/>
      <c r="AA59" s="21"/>
      <c r="AB59" s="21"/>
      <c r="AC59" s="21"/>
    </row>
    <row r="60" ht="14.25" customHeight="1">
      <c r="A60" s="22" t="s">
        <v>411</v>
      </c>
      <c r="B60" s="22" t="s">
        <v>331</v>
      </c>
      <c r="C60" s="23" t="s">
        <v>35</v>
      </c>
      <c r="D60" s="23" t="s">
        <v>32</v>
      </c>
      <c r="E60" s="56"/>
      <c r="F60" s="23" t="s">
        <v>125</v>
      </c>
      <c r="G60" s="22" t="s">
        <v>413</v>
      </c>
      <c r="H60" s="23" t="s">
        <v>414</v>
      </c>
      <c r="I60" s="57"/>
      <c r="J60" s="47"/>
      <c r="K60" s="47"/>
      <c r="M60" s="32">
        <f>40%/(sum(40%,28%,27%))</f>
        <v>0.4210526316</v>
      </c>
      <c r="N60" s="32">
        <f>4%/(sum(40%,28%,27%))</f>
        <v>0.04210526316</v>
      </c>
      <c r="O60" s="35"/>
      <c r="P60" s="35"/>
      <c r="Q60" s="29">
        <v>8.5E7</v>
      </c>
      <c r="R60" s="29">
        <v>1.0E7</v>
      </c>
      <c r="S60" s="22"/>
      <c r="T60" s="22"/>
      <c r="U60" s="22"/>
      <c r="V60" s="22"/>
      <c r="W60" s="29">
        <f t="shared" si="27"/>
        <v>35789473.68</v>
      </c>
      <c r="X60" s="30">
        <f t="shared" si="28"/>
        <v>5526065.157</v>
      </c>
      <c r="Y60" s="22" t="s">
        <v>415</v>
      </c>
      <c r="Z60" s="21"/>
      <c r="AA60" s="21"/>
      <c r="AB60" s="21"/>
      <c r="AC60" s="21"/>
    </row>
    <row r="61" ht="14.25" customHeight="1">
      <c r="A61" s="22" t="s">
        <v>411</v>
      </c>
      <c r="B61" s="22" t="s">
        <v>333</v>
      </c>
      <c r="C61" s="23" t="s">
        <v>35</v>
      </c>
      <c r="D61" s="23" t="s">
        <v>32</v>
      </c>
      <c r="E61" s="56"/>
      <c r="F61" s="23" t="s">
        <v>125</v>
      </c>
      <c r="G61" s="22" t="s">
        <v>413</v>
      </c>
      <c r="H61" s="23" t="s">
        <v>414</v>
      </c>
      <c r="I61" s="57"/>
      <c r="J61" s="47"/>
      <c r="K61" s="47"/>
      <c r="M61" s="32">
        <f>28%/(sum(40%,28%,27%))</f>
        <v>0.2947368421</v>
      </c>
      <c r="N61" s="32">
        <f>7%/(sum(40%,28%,27%))</f>
        <v>0.07368421053</v>
      </c>
      <c r="O61" s="35"/>
      <c r="P61" s="35"/>
      <c r="Q61" s="29">
        <v>8.5E7</v>
      </c>
      <c r="R61" s="29">
        <v>1.0E7</v>
      </c>
      <c r="S61" s="22"/>
      <c r="T61" s="22"/>
      <c r="U61" s="22"/>
      <c r="V61" s="22"/>
      <c r="W61" s="29">
        <f t="shared" si="27"/>
        <v>25052631.58</v>
      </c>
      <c r="X61" s="30">
        <f t="shared" si="28"/>
        <v>6922003.137</v>
      </c>
      <c r="Y61" s="22" t="s">
        <v>415</v>
      </c>
      <c r="Z61" s="21"/>
      <c r="AA61" s="21"/>
      <c r="AB61" s="21"/>
      <c r="AC61" s="21"/>
    </row>
    <row r="62" ht="14.25" customHeight="1">
      <c r="A62" s="22" t="s">
        <v>411</v>
      </c>
      <c r="B62" s="23" t="s">
        <v>408</v>
      </c>
      <c r="C62" s="23" t="s">
        <v>35</v>
      </c>
      <c r="D62" s="23" t="s">
        <v>32</v>
      </c>
      <c r="E62" s="56"/>
      <c r="F62" s="23" t="s">
        <v>125</v>
      </c>
      <c r="G62" s="22" t="s">
        <v>413</v>
      </c>
      <c r="H62" s="23" t="s">
        <v>414</v>
      </c>
      <c r="I62" s="57"/>
      <c r="J62" s="47"/>
      <c r="K62" s="47"/>
      <c r="M62" s="32">
        <f>27%/(sum(40%,28%,27%))</f>
        <v>0.2842105263</v>
      </c>
      <c r="N62" s="32">
        <f>3%/(sum(40%,28%,27%))</f>
        <v>0.03157894737</v>
      </c>
      <c r="O62" s="35"/>
      <c r="P62" s="35"/>
      <c r="Q62" s="29">
        <v>8.5E7</v>
      </c>
      <c r="R62" s="29">
        <v>1.0E7</v>
      </c>
      <c r="S62" s="22"/>
      <c r="T62" s="22"/>
      <c r="U62" s="22"/>
      <c r="V62" s="22"/>
      <c r="W62" s="29">
        <f t="shared" si="27"/>
        <v>24157894.74</v>
      </c>
      <c r="X62" s="30">
        <f t="shared" si="28"/>
        <v>3909290.022</v>
      </c>
      <c r="Y62" s="22" t="s">
        <v>415</v>
      </c>
      <c r="Z62" s="21"/>
      <c r="AA62" s="21"/>
      <c r="AB62" s="21"/>
      <c r="AC62" s="21"/>
    </row>
    <row r="63" ht="14.25" customHeight="1">
      <c r="A63" s="22" t="s">
        <v>416</v>
      </c>
      <c r="B63" s="22" t="s">
        <v>331</v>
      </c>
      <c r="C63" s="23" t="s">
        <v>35</v>
      </c>
      <c r="D63" s="23" t="s">
        <v>32</v>
      </c>
      <c r="E63" s="56"/>
      <c r="F63" s="23" t="s">
        <v>125</v>
      </c>
      <c r="G63" s="58"/>
      <c r="H63" s="23" t="s">
        <v>417</v>
      </c>
      <c r="I63" s="57"/>
      <c r="J63" s="47"/>
      <c r="K63" s="47"/>
      <c r="M63" s="32">
        <v>0.52</v>
      </c>
      <c r="N63" s="32">
        <v>0.02</v>
      </c>
      <c r="O63" s="47">
        <f t="shared" ref="O63:O64" si="29">(74%+6%)*4*10^7/30*2260</f>
        <v>2410666667</v>
      </c>
      <c r="P63" s="35">
        <f t="shared" ref="P63:P64" si="30">(10/30)*O63</f>
        <v>803555555.6</v>
      </c>
      <c r="Q63" s="21"/>
      <c r="R63" s="21"/>
      <c r="S63" s="25">
        <f t="shared" ref="S63:S70" si="31">M63*O63</f>
        <v>1253546667</v>
      </c>
      <c r="T63" s="25">
        <f>S63*sqrt(sumsq(N63/M63,P63/O63))</f>
        <v>420621230.4</v>
      </c>
      <c r="U63" s="49">
        <f>GIT_dimensions!$X$6</f>
        <v>50.57147358</v>
      </c>
      <c r="V63" s="49">
        <f>GIT_dimensions!$Y$6</f>
        <v>12.36714176</v>
      </c>
      <c r="W63" s="25">
        <f>S63/GIT_dimensions!$B$17/U63</f>
        <v>23834253.74</v>
      </c>
      <c r="X63" s="25">
        <f t="shared" ref="X63:X70" si="32">sqrt(sumsq(V63/U63,T63/S63))*W63</f>
        <v>9896067.666</v>
      </c>
      <c r="Y63" s="22"/>
      <c r="Z63" s="21"/>
      <c r="AA63" s="21"/>
      <c r="AB63" s="21"/>
      <c r="AC63" s="21"/>
    </row>
    <row r="64" ht="14.25" customHeight="1">
      <c r="A64" s="22" t="s">
        <v>416</v>
      </c>
      <c r="B64" s="22" t="s">
        <v>333</v>
      </c>
      <c r="C64" s="23" t="s">
        <v>35</v>
      </c>
      <c r="D64" s="23" t="s">
        <v>32</v>
      </c>
      <c r="E64" s="59"/>
      <c r="F64" s="23" t="s">
        <v>125</v>
      </c>
      <c r="G64" s="58"/>
      <c r="H64" s="23" t="s">
        <v>417</v>
      </c>
      <c r="I64" s="60"/>
      <c r="J64" s="47"/>
      <c r="M64" s="32">
        <v>0.26</v>
      </c>
      <c r="N64" s="32">
        <v>0.01</v>
      </c>
      <c r="O64" s="47">
        <f t="shared" si="29"/>
        <v>2410666667</v>
      </c>
      <c r="P64" s="35">
        <f t="shared" si="30"/>
        <v>803555555.6</v>
      </c>
      <c r="Q64" s="21"/>
      <c r="R64" s="21"/>
      <c r="S64" s="29">
        <f t="shared" si="31"/>
        <v>626773333.3</v>
      </c>
      <c r="T64" s="29">
        <f t="shared" ref="T64:T70" si="33">sqrt(sumsq(N64*O64,P64*M64))</f>
        <v>210310615.2</v>
      </c>
      <c r="U64" s="49">
        <f>GIT_dimensions!$X$6</f>
        <v>50.57147358</v>
      </c>
      <c r="V64" s="49">
        <f>GIT_dimensions!$Y$6</f>
        <v>12.36714176</v>
      </c>
      <c r="W64" s="25">
        <f>S64/GIT_dimensions!$B$17/U64</f>
        <v>11917126.87</v>
      </c>
      <c r="X64" s="25">
        <f t="shared" si="32"/>
        <v>4948033.833</v>
      </c>
      <c r="Y64" s="22" t="s">
        <v>418</v>
      </c>
      <c r="Z64" s="21"/>
      <c r="AA64" s="21"/>
      <c r="AB64" s="21"/>
      <c r="AC64" s="21"/>
    </row>
    <row r="65" ht="14.25" customHeight="1">
      <c r="A65" s="22" t="s">
        <v>419</v>
      </c>
      <c r="B65" s="22" t="s">
        <v>331</v>
      </c>
      <c r="C65" s="23" t="s">
        <v>34</v>
      </c>
      <c r="D65" s="23" t="s">
        <v>32</v>
      </c>
      <c r="E65" s="59"/>
      <c r="F65" s="23" t="s">
        <v>125</v>
      </c>
      <c r="G65" s="61"/>
      <c r="H65" s="23" t="s">
        <v>420</v>
      </c>
      <c r="I65" s="62"/>
      <c r="J65" s="47"/>
      <c r="K65" s="47"/>
      <c r="L65" s="47"/>
      <c r="M65" s="38">
        <f t="shared" ref="M65:M66" si="34">M57/sum($M$57:$M$58)</f>
        <v>0.539800995</v>
      </c>
      <c r="N65" s="38">
        <v>0.05</v>
      </c>
      <c r="O65" s="29">
        <f>Lymph_subgroups_and_details!C164</f>
        <v>12866531382</v>
      </c>
      <c r="P65" s="29">
        <f>Lymph_subgroups_and_details!D164</f>
        <v>9953949228</v>
      </c>
      <c r="Q65" s="21"/>
      <c r="R65" s="21"/>
      <c r="S65" s="29">
        <f t="shared" si="31"/>
        <v>6945366443</v>
      </c>
      <c r="T65" s="29">
        <f t="shared" si="33"/>
        <v>5411527348</v>
      </c>
      <c r="U65" s="49">
        <f>GIT_dimensions!X$9</f>
        <v>128.7938033</v>
      </c>
      <c r="V65" s="49">
        <f>GIT_dimensions!Y$9</f>
        <v>17.86074678</v>
      </c>
      <c r="W65" s="25">
        <f>S65/GIT_dimensions!$B$17/U65</f>
        <v>51852160.52</v>
      </c>
      <c r="X65" s="25">
        <f t="shared" si="32"/>
        <v>41035872.12</v>
      </c>
      <c r="Y65" s="22" t="s">
        <v>421</v>
      </c>
      <c r="Z65" s="21"/>
      <c r="AA65" s="21"/>
      <c r="AB65" s="21"/>
      <c r="AC65" s="21"/>
    </row>
    <row r="66" ht="14.25" customHeight="1">
      <c r="A66" s="22" t="s">
        <v>419</v>
      </c>
      <c r="B66" s="22" t="s">
        <v>333</v>
      </c>
      <c r="C66" s="23" t="s">
        <v>34</v>
      </c>
      <c r="D66" s="23" t="s">
        <v>32</v>
      </c>
      <c r="E66" s="59"/>
      <c r="F66" s="23" t="s">
        <v>125</v>
      </c>
      <c r="G66" s="56"/>
      <c r="H66" s="23" t="s">
        <v>420</v>
      </c>
      <c r="I66" s="62"/>
      <c r="J66" s="47"/>
      <c r="K66" s="47"/>
      <c r="L66" s="47"/>
      <c r="M66" s="38">
        <f t="shared" si="34"/>
        <v>0.460199005</v>
      </c>
      <c r="N66" s="38">
        <v>0.05</v>
      </c>
      <c r="O66" s="29">
        <f>Lymph_subgroups_and_details!C164</f>
        <v>12866531382</v>
      </c>
      <c r="P66" s="29">
        <f>Lymph_subgroups_and_details!D164</f>
        <v>9953949228</v>
      </c>
      <c r="Q66" s="21"/>
      <c r="R66" s="21"/>
      <c r="S66" s="29">
        <f t="shared" si="31"/>
        <v>5921164940</v>
      </c>
      <c r="T66" s="29">
        <f t="shared" si="33"/>
        <v>4625751300</v>
      </c>
      <c r="U66" s="49">
        <f>GIT_dimensions!X$9</f>
        <v>128.7938033</v>
      </c>
      <c r="V66" s="49">
        <f>GIT_dimensions!Y$9</f>
        <v>17.86074678</v>
      </c>
      <c r="W66" s="25">
        <f>S66/GIT_dimensions!$B$17/U66</f>
        <v>44205758.97</v>
      </c>
      <c r="X66" s="25">
        <f t="shared" si="32"/>
        <v>35074448.89</v>
      </c>
      <c r="Y66" s="22" t="s">
        <v>421</v>
      </c>
      <c r="Z66" s="21"/>
      <c r="AA66" s="21"/>
      <c r="AB66" s="21"/>
      <c r="AC66" s="21"/>
    </row>
    <row r="67" ht="14.25" customHeight="1">
      <c r="A67" s="22" t="s">
        <v>419</v>
      </c>
      <c r="B67" s="22" t="s">
        <v>331</v>
      </c>
      <c r="C67" s="23" t="s">
        <v>35</v>
      </c>
      <c r="D67" s="23" t="s">
        <v>32</v>
      </c>
      <c r="E67" s="59"/>
      <c r="F67" s="23" t="s">
        <v>125</v>
      </c>
      <c r="G67" s="57"/>
      <c r="H67" s="23" t="s">
        <v>420</v>
      </c>
      <c r="I67" s="62"/>
      <c r="J67" s="47"/>
      <c r="K67" s="47"/>
      <c r="L67" s="47"/>
      <c r="M67" s="38">
        <f t="shared" ref="M67:N67" si="35">M65</f>
        <v>0.539800995</v>
      </c>
      <c r="N67" s="38">
        <f t="shared" si="35"/>
        <v>0.05</v>
      </c>
      <c r="O67" s="29">
        <f>Lymph_subgroups_and_details!C165</f>
        <v>6411917905</v>
      </c>
      <c r="P67" s="29">
        <f>Lymph_subgroups_and_details!D165</f>
        <v>4795571854</v>
      </c>
      <c r="Q67" s="21"/>
      <c r="R67" s="21"/>
      <c r="S67" s="29">
        <f t="shared" si="31"/>
        <v>3461159665</v>
      </c>
      <c r="T67" s="29">
        <f t="shared" si="33"/>
        <v>2608431259</v>
      </c>
      <c r="U67" s="49">
        <f>GIT_dimensions!X$10</f>
        <v>57.28738186</v>
      </c>
      <c r="V67" s="49">
        <f>GIT_dimensions!Y$10</f>
        <v>12.4427824</v>
      </c>
      <c r="W67" s="25">
        <f>S67/GIT_dimensions!$B$17/U67</f>
        <v>58093737.78</v>
      </c>
      <c r="X67" s="25">
        <f t="shared" si="32"/>
        <v>45563146.62</v>
      </c>
      <c r="Y67" s="22" t="s">
        <v>421</v>
      </c>
      <c r="Z67" s="21"/>
      <c r="AA67" s="21"/>
      <c r="AB67" s="21"/>
      <c r="AC67" s="21"/>
    </row>
    <row r="68" ht="14.25" customHeight="1">
      <c r="A68" s="22" t="s">
        <v>419</v>
      </c>
      <c r="B68" s="22" t="s">
        <v>333</v>
      </c>
      <c r="C68" s="23" t="s">
        <v>35</v>
      </c>
      <c r="D68" s="23" t="s">
        <v>32</v>
      </c>
      <c r="E68" s="22"/>
      <c r="F68" s="23" t="s">
        <v>125</v>
      </c>
      <c r="G68" s="22"/>
      <c r="H68" s="23" t="s">
        <v>420</v>
      </c>
      <c r="I68" s="33"/>
      <c r="J68" s="36"/>
      <c r="K68" s="36"/>
      <c r="L68" s="36"/>
      <c r="M68" s="38">
        <f t="shared" ref="M68:N68" si="36">M66</f>
        <v>0.460199005</v>
      </c>
      <c r="N68" s="38">
        <f t="shared" si="36"/>
        <v>0.05</v>
      </c>
      <c r="O68" s="29">
        <f>Lymph_subgroups_and_details!C165</f>
        <v>6411917905</v>
      </c>
      <c r="P68" s="29">
        <f>Lymph_subgroups_and_details!D165</f>
        <v>4795571854</v>
      </c>
      <c r="Q68" s="21"/>
      <c r="R68" s="21"/>
      <c r="S68" s="29">
        <f t="shared" si="31"/>
        <v>2950758240</v>
      </c>
      <c r="T68" s="29">
        <f t="shared" si="33"/>
        <v>2230082088</v>
      </c>
      <c r="U68" s="49">
        <f>GIT_dimensions!X$10</f>
        <v>57.28738186</v>
      </c>
      <c r="V68" s="49">
        <f>GIT_dimensions!Y$10</f>
        <v>12.4427824</v>
      </c>
      <c r="W68" s="25">
        <f>S68/GIT_dimensions!$B$17/U68</f>
        <v>49526919.3</v>
      </c>
      <c r="X68" s="25">
        <f t="shared" si="32"/>
        <v>38945843.93</v>
      </c>
      <c r="Y68" s="22" t="s">
        <v>421</v>
      </c>
      <c r="Z68" s="21"/>
      <c r="AA68" s="21"/>
      <c r="AB68" s="21"/>
      <c r="AC68" s="21"/>
    </row>
    <row r="69" ht="14.25" customHeight="1">
      <c r="A69" s="22" t="s">
        <v>419</v>
      </c>
      <c r="B69" s="22" t="s">
        <v>331</v>
      </c>
      <c r="C69" s="23" t="s">
        <v>34</v>
      </c>
      <c r="D69" s="23" t="s">
        <v>412</v>
      </c>
      <c r="E69" s="59"/>
      <c r="F69" s="23" t="s">
        <v>125</v>
      </c>
      <c r="G69" s="23"/>
      <c r="H69" s="23" t="s">
        <v>420</v>
      </c>
      <c r="I69" s="33"/>
      <c r="J69" s="36"/>
      <c r="K69" s="36"/>
      <c r="L69" s="36"/>
      <c r="M69" s="38">
        <f t="shared" ref="M69:N69" si="37">M67</f>
        <v>0.539800995</v>
      </c>
      <c r="N69" s="38">
        <f t="shared" si="37"/>
        <v>0.05</v>
      </c>
      <c r="O69" s="29">
        <f>Lymph_subgroups_and_details!C166</f>
        <v>1911985144</v>
      </c>
      <c r="P69" s="29">
        <f>Lymph_subgroups_and_details!D166</f>
        <v>1454587138</v>
      </c>
      <c r="Q69" s="21"/>
      <c r="R69" s="21"/>
      <c r="S69" s="29">
        <f t="shared" si="31"/>
        <v>1032091483</v>
      </c>
      <c r="T69" s="29">
        <f t="shared" si="33"/>
        <v>790985942.4</v>
      </c>
      <c r="U69" s="49">
        <f>GIT_dimensions!$B$16/GIT_dimensions!$B$17</f>
        <v>19.23076923</v>
      </c>
      <c r="V69" s="22"/>
      <c r="W69" s="25">
        <f>S69/GIT_dimensions!$B$17/U69</f>
        <v>51604574.16</v>
      </c>
      <c r="X69" s="25">
        <f t="shared" si="32"/>
        <v>39549297.12</v>
      </c>
      <c r="Y69" s="22" t="s">
        <v>421</v>
      </c>
      <c r="Z69" s="21"/>
      <c r="AA69" s="21"/>
      <c r="AB69" s="21"/>
      <c r="AC69" s="21"/>
    </row>
    <row r="70" ht="14.25" customHeight="1">
      <c r="A70" s="22" t="s">
        <v>419</v>
      </c>
      <c r="B70" s="22" t="s">
        <v>333</v>
      </c>
      <c r="C70" s="23" t="s">
        <v>34</v>
      </c>
      <c r="D70" s="23" t="s">
        <v>412</v>
      </c>
      <c r="E70" s="58"/>
      <c r="F70" s="23" t="s">
        <v>125</v>
      </c>
      <c r="G70" s="23"/>
      <c r="H70" s="23" t="s">
        <v>420</v>
      </c>
      <c r="I70" s="33"/>
      <c r="J70" s="36"/>
      <c r="K70" s="36"/>
      <c r="L70" s="36"/>
      <c r="M70" s="38">
        <f t="shared" ref="M70:N70" si="38">M68</f>
        <v>0.460199005</v>
      </c>
      <c r="N70" s="38">
        <f t="shared" si="38"/>
        <v>0.05</v>
      </c>
      <c r="O70" s="29">
        <f>Lymph_subgroups_and_details!C166</f>
        <v>1911985144</v>
      </c>
      <c r="P70" s="29">
        <f>Lymph_subgroups_and_details!D166</f>
        <v>1454587138</v>
      </c>
      <c r="Q70" s="21"/>
      <c r="R70" s="21"/>
      <c r="S70" s="29">
        <f t="shared" si="31"/>
        <v>879893660.8</v>
      </c>
      <c r="T70" s="29">
        <f t="shared" si="33"/>
        <v>676191526.6</v>
      </c>
      <c r="U70" s="49">
        <f>GIT_dimensions!$B$16/GIT_dimensions!$B$17</f>
        <v>19.23076923</v>
      </c>
      <c r="V70" s="22"/>
      <c r="W70" s="25">
        <f>S70/GIT_dimensions!$B$17/U70</f>
        <v>43994683.04</v>
      </c>
      <c r="X70" s="25">
        <f t="shared" si="32"/>
        <v>33809576.33</v>
      </c>
      <c r="Y70" s="22" t="s">
        <v>421</v>
      </c>
      <c r="Z70" s="21"/>
      <c r="AA70" s="21"/>
      <c r="AB70" s="21"/>
      <c r="AC70" s="21"/>
    </row>
    <row r="71" ht="14.25" customHeight="1">
      <c r="A71" s="22" t="s">
        <v>422</v>
      </c>
      <c r="B71" s="22" t="s">
        <v>335</v>
      </c>
      <c r="C71" s="23" t="s">
        <v>34</v>
      </c>
      <c r="D71" s="23" t="s">
        <v>32</v>
      </c>
      <c r="E71" s="58"/>
      <c r="F71" s="23" t="s">
        <v>125</v>
      </c>
      <c r="G71" s="23"/>
      <c r="H71" s="23" t="s">
        <v>423</v>
      </c>
      <c r="I71" s="33">
        <f t="shared" ref="I71:I73" si="39">10^6</f>
        <v>1000000</v>
      </c>
      <c r="J71" s="46">
        <v>3.0</v>
      </c>
      <c r="K71" s="50">
        <f>860/0.74</f>
        <v>1162.162162</v>
      </c>
      <c r="L71" s="50">
        <f>135/0.74</f>
        <v>182.4324324</v>
      </c>
      <c r="M71" s="38"/>
      <c r="N71" s="38"/>
      <c r="O71" s="29"/>
      <c r="P71" s="29"/>
      <c r="Q71" s="21"/>
      <c r="R71" s="21"/>
      <c r="S71" s="29"/>
      <c r="T71" s="29"/>
      <c r="U71" s="49"/>
      <c r="V71" s="22"/>
      <c r="W71" s="25">
        <f>10^12*K71/(J71+8)/I71/GIT_dimensions!$B$17</f>
        <v>101587601.6</v>
      </c>
      <c r="X71" s="25">
        <f t="shared" ref="X71:X73" si="40">L71/K71*W71</f>
        <v>15946890.95</v>
      </c>
      <c r="Y71" s="22" t="s">
        <v>424</v>
      </c>
      <c r="Z71" s="21"/>
      <c r="AA71" s="21"/>
      <c r="AB71" s="21"/>
      <c r="AC71" s="21"/>
    </row>
    <row r="72" ht="14.25" customHeight="1">
      <c r="A72" s="22" t="s">
        <v>422</v>
      </c>
      <c r="B72" s="22" t="s">
        <v>425</v>
      </c>
      <c r="C72" s="23" t="s">
        <v>34</v>
      </c>
      <c r="D72" s="23" t="s">
        <v>32</v>
      </c>
      <c r="E72" s="58"/>
      <c r="F72" s="23" t="s">
        <v>125</v>
      </c>
      <c r="G72" s="23"/>
      <c r="H72" s="23" t="s">
        <v>423</v>
      </c>
      <c r="I72" s="33">
        <f t="shared" si="39"/>
        <v>1000000</v>
      </c>
      <c r="J72" s="46">
        <v>3.0</v>
      </c>
      <c r="K72" s="50">
        <f>8/36%</f>
        <v>22.22222222</v>
      </c>
      <c r="L72" s="50">
        <f>3/36%</f>
        <v>8.333333333</v>
      </c>
      <c r="M72" s="38"/>
      <c r="N72" s="38"/>
      <c r="O72" s="29"/>
      <c r="P72" s="29"/>
      <c r="Q72" s="21"/>
      <c r="R72" s="21"/>
      <c r="S72" s="29"/>
      <c r="T72" s="29"/>
      <c r="U72" s="49"/>
      <c r="V72" s="22"/>
      <c r="W72" s="25">
        <f>10^12*K72/(J72+8)/I72/GIT_dimensions!$B$17</f>
        <v>1942501.943</v>
      </c>
      <c r="X72" s="25">
        <f t="shared" si="40"/>
        <v>728438.2284</v>
      </c>
      <c r="Y72" s="22" t="s">
        <v>426</v>
      </c>
      <c r="Z72" s="21"/>
      <c r="AA72" s="21"/>
      <c r="AB72" s="21"/>
      <c r="AC72" s="21"/>
    </row>
    <row r="73" ht="14.25" customHeight="1">
      <c r="A73" s="22" t="s">
        <v>422</v>
      </c>
      <c r="B73" s="22" t="s">
        <v>425</v>
      </c>
      <c r="C73" s="23" t="s">
        <v>34</v>
      </c>
      <c r="D73" s="23" t="s">
        <v>399</v>
      </c>
      <c r="E73" s="58"/>
      <c r="F73" s="23" t="s">
        <v>125</v>
      </c>
      <c r="G73" s="23"/>
      <c r="H73" s="23" t="s">
        <v>423</v>
      </c>
      <c r="I73" s="33">
        <f t="shared" si="39"/>
        <v>1000000</v>
      </c>
      <c r="J73" s="46">
        <v>3.0</v>
      </c>
      <c r="K73" s="50">
        <f>(233+135)/36%</f>
        <v>1022.222222</v>
      </c>
      <c r="L73" s="50">
        <f>sqrt(sumsq(46,30))/36%</f>
        <v>152.5503358</v>
      </c>
      <c r="M73" s="38"/>
      <c r="N73" s="38"/>
      <c r="O73" s="29"/>
      <c r="P73" s="29"/>
      <c r="Q73" s="21"/>
      <c r="R73" s="21"/>
      <c r="S73" s="29"/>
      <c r="T73" s="29"/>
      <c r="U73" s="49"/>
      <c r="V73" s="22"/>
      <c r="W73" s="25">
        <f>10^12*K73/(J73+8)/I73/GIT_dimensions!$B$17</f>
        <v>89355089.36</v>
      </c>
      <c r="X73" s="25">
        <f t="shared" si="40"/>
        <v>13334819.56</v>
      </c>
      <c r="Y73" s="22" t="s">
        <v>426</v>
      </c>
      <c r="Z73" s="21"/>
      <c r="AA73" s="21"/>
      <c r="AB73" s="21"/>
      <c r="AC73" s="21"/>
    </row>
    <row r="74" ht="14.25" customHeight="1">
      <c r="A74" s="22" t="s">
        <v>427</v>
      </c>
      <c r="B74" s="22" t="s">
        <v>425</v>
      </c>
      <c r="C74" s="23" t="s">
        <v>34</v>
      </c>
      <c r="D74" s="23" t="s">
        <v>32</v>
      </c>
      <c r="E74" s="58"/>
      <c r="F74" s="23" t="s">
        <v>125</v>
      </c>
      <c r="G74" s="23"/>
      <c r="H74" s="23" t="s">
        <v>428</v>
      </c>
      <c r="I74" s="33"/>
      <c r="J74" s="36"/>
      <c r="K74" s="36"/>
      <c r="L74" s="36"/>
      <c r="M74" s="38">
        <f>Lymph_subgroups_and_details!$C$182</f>
        <v>0.2945399503</v>
      </c>
      <c r="N74" s="38">
        <f>Lymph_subgroups_and_details!$D$182</f>
        <v>0.1472699751</v>
      </c>
      <c r="O74" s="29"/>
      <c r="P74" s="29"/>
      <c r="Q74" s="30">
        <f>GEOMEAN(W55,W71)</f>
        <v>62220659.7</v>
      </c>
      <c r="R74" s="30">
        <f>average(W71-Q74,Q74-W55)</f>
        <v>31739258.54</v>
      </c>
      <c r="S74" s="29"/>
      <c r="T74" s="29"/>
      <c r="U74" s="49"/>
      <c r="V74" s="22"/>
      <c r="W74" s="25">
        <f>Q74*M74</f>
        <v>18326470.01</v>
      </c>
      <c r="X74" s="30">
        <f>sqrt(sumsq(M74*R74,N74*Q74))</f>
        <v>13090414.33</v>
      </c>
      <c r="Y74" s="22" t="s">
        <v>429</v>
      </c>
      <c r="Z74" s="21"/>
      <c r="AA74" s="21"/>
      <c r="AB74" s="21"/>
      <c r="AC74" s="21"/>
    </row>
    <row r="75" ht="14.25" customHeight="1">
      <c r="A75" s="22" t="s">
        <v>430</v>
      </c>
      <c r="B75" s="22" t="s">
        <v>334</v>
      </c>
      <c r="C75" s="23" t="s">
        <v>34</v>
      </c>
      <c r="D75" s="23"/>
      <c r="E75" s="58"/>
      <c r="F75" s="23" t="s">
        <v>125</v>
      </c>
      <c r="G75" s="23"/>
      <c r="H75" s="23" t="s">
        <v>370</v>
      </c>
      <c r="I75" s="33"/>
      <c r="J75" s="36"/>
      <c r="K75" s="36"/>
      <c r="L75" s="36"/>
      <c r="M75" s="38">
        <v>0.02</v>
      </c>
      <c r="N75" s="38">
        <v>0.01</v>
      </c>
      <c r="O75" s="29"/>
      <c r="P75" s="29"/>
      <c r="Q75" s="21"/>
      <c r="R75" s="21"/>
      <c r="S75" s="29"/>
      <c r="T75" s="29"/>
      <c r="U75" s="49">
        <f>GIT_dimensions!R9</f>
        <v>592.8083236</v>
      </c>
      <c r="V75" s="49">
        <f>GIT_dimensions!S9</f>
        <v>129.2237544</v>
      </c>
      <c r="W75" s="25"/>
      <c r="X75" s="25"/>
      <c r="Y75" s="22" t="s">
        <v>431</v>
      </c>
      <c r="Z75" s="21"/>
      <c r="AA75" s="21"/>
      <c r="AB75" s="21"/>
      <c r="AC75" s="21"/>
    </row>
    <row r="76" ht="14.25" customHeight="1">
      <c r="A76" s="22" t="s">
        <v>430</v>
      </c>
      <c r="B76" s="22" t="s">
        <v>334</v>
      </c>
      <c r="C76" s="23" t="s">
        <v>35</v>
      </c>
      <c r="D76" s="23"/>
      <c r="E76" s="58"/>
      <c r="F76" s="23" t="s">
        <v>125</v>
      </c>
      <c r="G76" s="23"/>
      <c r="H76" s="23" t="s">
        <v>370</v>
      </c>
      <c r="I76" s="33"/>
      <c r="J76" s="36"/>
      <c r="K76" s="36"/>
      <c r="L76" s="36"/>
      <c r="M76" s="38">
        <v>0.02</v>
      </c>
      <c r="N76" s="38">
        <v>0.01</v>
      </c>
      <c r="O76" s="29"/>
      <c r="P76" s="29"/>
      <c r="Q76" s="21"/>
      <c r="R76" s="21"/>
      <c r="S76" s="29"/>
      <c r="T76" s="29"/>
      <c r="U76" s="49">
        <f>GIT_dimensions!R10</f>
        <v>379.3638063</v>
      </c>
      <c r="V76" s="49">
        <f>GIT_dimensions!S10</f>
        <v>93.1489119</v>
      </c>
      <c r="W76" s="25"/>
      <c r="X76" s="25"/>
      <c r="Y76" s="22" t="s">
        <v>431</v>
      </c>
      <c r="Z76" s="21"/>
      <c r="AA76" s="21"/>
      <c r="AB76" s="21"/>
      <c r="AC76" s="21"/>
    </row>
    <row r="77" ht="14.25" customHeight="1">
      <c r="A77" s="22" t="s">
        <v>432</v>
      </c>
      <c r="B77" s="23" t="s">
        <v>331</v>
      </c>
      <c r="C77" s="23" t="s">
        <v>19</v>
      </c>
      <c r="D77" s="22"/>
      <c r="E77" s="23"/>
      <c r="F77" s="23" t="s">
        <v>125</v>
      </c>
      <c r="G77" s="23"/>
      <c r="H77" s="23" t="s">
        <v>433</v>
      </c>
      <c r="I77" s="33"/>
      <c r="J77" s="46"/>
      <c r="K77" s="50"/>
      <c r="L77" s="50"/>
      <c r="M77" s="32">
        <f>AVERAGE(75%,85%)</f>
        <v>0.8</v>
      </c>
      <c r="N77" s="32">
        <v>0.05</v>
      </c>
      <c r="O77" s="29"/>
      <c r="P77" s="29"/>
      <c r="Q77" s="29">
        <f t="shared" ref="Q77:Q79" si="41">179 * 1000</f>
        <v>179000</v>
      </c>
      <c r="R77" s="29">
        <f t="shared" ref="R77:R79" si="42">48.5 * 1000</f>
        <v>48500</v>
      </c>
      <c r="S77" s="29"/>
      <c r="T77" s="29"/>
      <c r="U77" s="49"/>
      <c r="V77" s="22"/>
      <c r="W77" s="25">
        <f t="shared" ref="W77:W84" si="43">Q77*M77</f>
        <v>143200</v>
      </c>
      <c r="X77" s="30">
        <f t="shared" ref="X77:X84" si="44">sqrt(sumsq(M77*R77,N77*Q77))</f>
        <v>39818.87115</v>
      </c>
      <c r="Y77" s="22" t="s">
        <v>434</v>
      </c>
      <c r="Z77" s="21"/>
      <c r="AA77" s="21"/>
      <c r="AB77" s="21"/>
      <c r="AC77" s="21"/>
    </row>
    <row r="78" ht="14.25" customHeight="1">
      <c r="A78" s="22" t="s">
        <v>432</v>
      </c>
      <c r="B78" s="23" t="s">
        <v>333</v>
      </c>
      <c r="C78" s="23" t="s">
        <v>19</v>
      </c>
      <c r="D78" s="22"/>
      <c r="E78" s="22"/>
      <c r="F78" s="23" t="s">
        <v>125</v>
      </c>
      <c r="G78" s="23"/>
      <c r="H78" s="23" t="s">
        <v>433</v>
      </c>
      <c r="I78" s="33"/>
      <c r="J78" s="36"/>
      <c r="K78" s="36"/>
      <c r="L78" s="36"/>
      <c r="M78" s="32">
        <f>AVERAGE(5%,10%)</f>
        <v>0.075</v>
      </c>
      <c r="N78" s="32">
        <v>0.03</v>
      </c>
      <c r="O78" s="29"/>
      <c r="P78" s="29"/>
      <c r="Q78" s="29">
        <f t="shared" si="41"/>
        <v>179000</v>
      </c>
      <c r="R78" s="29">
        <f t="shared" si="42"/>
        <v>48500</v>
      </c>
      <c r="S78" s="29"/>
      <c r="T78" s="29"/>
      <c r="U78" s="49"/>
      <c r="V78" s="22"/>
      <c r="W78" s="25">
        <f t="shared" si="43"/>
        <v>13425</v>
      </c>
      <c r="X78" s="30">
        <f t="shared" si="44"/>
        <v>6486.008499</v>
      </c>
      <c r="Y78" s="22" t="s">
        <v>434</v>
      </c>
      <c r="Z78" s="21"/>
      <c r="AA78" s="21"/>
      <c r="AB78" s="21"/>
      <c r="AC78" s="21"/>
    </row>
    <row r="79" ht="14.25" customHeight="1">
      <c r="A79" s="22" t="s">
        <v>432</v>
      </c>
      <c r="B79" s="23" t="s">
        <v>334</v>
      </c>
      <c r="C79" s="23" t="s">
        <v>19</v>
      </c>
      <c r="D79" s="22"/>
      <c r="E79" s="22"/>
      <c r="F79" s="23" t="s">
        <v>125</v>
      </c>
      <c r="G79" s="23"/>
      <c r="H79" s="23" t="s">
        <v>433</v>
      </c>
      <c r="I79" s="33"/>
      <c r="J79" s="46"/>
      <c r="K79" s="50"/>
      <c r="L79" s="50"/>
      <c r="M79" s="32">
        <v>0.05</v>
      </c>
      <c r="N79" s="32">
        <v>0.03</v>
      </c>
      <c r="O79" s="29"/>
      <c r="P79" s="29"/>
      <c r="Q79" s="29">
        <f t="shared" si="41"/>
        <v>179000</v>
      </c>
      <c r="R79" s="29">
        <f t="shared" si="42"/>
        <v>48500</v>
      </c>
      <c r="S79" s="29"/>
      <c r="T79" s="29"/>
      <c r="U79" s="49"/>
      <c r="V79" s="22"/>
      <c r="W79" s="25">
        <f t="shared" si="43"/>
        <v>8950</v>
      </c>
      <c r="X79" s="30">
        <f t="shared" si="44"/>
        <v>5892.157924</v>
      </c>
      <c r="Y79" s="22" t="s">
        <v>434</v>
      </c>
      <c r="Z79" s="21"/>
      <c r="AA79" s="21"/>
      <c r="AB79" s="21"/>
      <c r="AC79" s="21"/>
    </row>
    <row r="80" ht="14.25" customHeight="1">
      <c r="A80" s="22" t="s">
        <v>435</v>
      </c>
      <c r="B80" s="23" t="s">
        <v>331</v>
      </c>
      <c r="C80" s="23" t="s">
        <v>19</v>
      </c>
      <c r="D80" s="22"/>
      <c r="E80" s="22"/>
      <c r="F80" s="23" t="s">
        <v>125</v>
      </c>
      <c r="G80" s="23"/>
      <c r="H80" s="23" t="s">
        <v>433</v>
      </c>
      <c r="I80" s="33"/>
      <c r="J80" s="36"/>
      <c r="K80" s="36"/>
      <c r="L80" s="36"/>
      <c r="M80" s="32">
        <f>AVERAGE(75%,85%)</f>
        <v>0.8</v>
      </c>
      <c r="N80" s="32">
        <v>0.05</v>
      </c>
      <c r="O80" s="29"/>
      <c r="P80" s="29"/>
      <c r="Q80" s="29">
        <f t="shared" ref="Q80:Q82" si="45">163*1000</f>
        <v>163000</v>
      </c>
      <c r="R80" s="29">
        <f t="shared" ref="R80:R82" si="46">53*1000</f>
        <v>53000</v>
      </c>
      <c r="S80" s="29"/>
      <c r="T80" s="29"/>
      <c r="U80" s="49"/>
      <c r="V80" s="22"/>
      <c r="W80" s="25">
        <f t="shared" si="43"/>
        <v>130400</v>
      </c>
      <c r="X80" s="30">
        <f t="shared" si="44"/>
        <v>43176.17978</v>
      </c>
      <c r="Y80" s="22" t="s">
        <v>434</v>
      </c>
      <c r="Z80" s="21"/>
      <c r="AA80" s="21"/>
      <c r="AB80" s="21"/>
      <c r="AC80" s="21"/>
    </row>
    <row r="81" ht="14.25" customHeight="1">
      <c r="A81" s="22" t="s">
        <v>435</v>
      </c>
      <c r="B81" s="23" t="s">
        <v>333</v>
      </c>
      <c r="C81" s="23" t="s">
        <v>19</v>
      </c>
      <c r="D81" s="22"/>
      <c r="E81" s="22"/>
      <c r="F81" s="23" t="s">
        <v>125</v>
      </c>
      <c r="G81" s="23"/>
      <c r="H81" s="23" t="s">
        <v>433</v>
      </c>
      <c r="I81" s="33"/>
      <c r="J81" s="46"/>
      <c r="K81" s="50"/>
      <c r="L81" s="50"/>
      <c r="M81" s="32">
        <f>AVERAGE(5%,10%)</f>
        <v>0.075</v>
      </c>
      <c r="N81" s="32">
        <v>0.03</v>
      </c>
      <c r="O81" s="29"/>
      <c r="P81" s="29"/>
      <c r="Q81" s="29">
        <f t="shared" si="45"/>
        <v>163000</v>
      </c>
      <c r="R81" s="29">
        <f t="shared" si="46"/>
        <v>53000</v>
      </c>
      <c r="S81" s="29"/>
      <c r="T81" s="29"/>
      <c r="U81" s="49"/>
      <c r="V81" s="22"/>
      <c r="W81" s="25">
        <f t="shared" si="43"/>
        <v>12225</v>
      </c>
      <c r="X81" s="30">
        <f t="shared" si="44"/>
        <v>6301.803313</v>
      </c>
      <c r="Y81" s="22" t="s">
        <v>434</v>
      </c>
      <c r="Z81" s="21"/>
      <c r="AA81" s="21"/>
      <c r="AB81" s="21"/>
      <c r="AC81" s="21"/>
    </row>
    <row r="82" ht="14.25" customHeight="1">
      <c r="A82" s="22" t="s">
        <v>435</v>
      </c>
      <c r="B82" s="23" t="s">
        <v>334</v>
      </c>
      <c r="C82" s="23" t="s">
        <v>19</v>
      </c>
      <c r="D82" s="22"/>
      <c r="E82" s="22"/>
      <c r="F82" s="23" t="s">
        <v>125</v>
      </c>
      <c r="G82" s="23"/>
      <c r="H82" s="23" t="s">
        <v>433</v>
      </c>
      <c r="I82" s="33"/>
      <c r="J82" s="36"/>
      <c r="K82" s="36"/>
      <c r="L82" s="36"/>
      <c r="M82" s="32">
        <v>0.05</v>
      </c>
      <c r="N82" s="32">
        <v>0.03</v>
      </c>
      <c r="O82" s="29"/>
      <c r="P82" s="29"/>
      <c r="Q82" s="29">
        <f t="shared" si="45"/>
        <v>163000</v>
      </c>
      <c r="R82" s="29">
        <f t="shared" si="46"/>
        <v>53000</v>
      </c>
      <c r="S82" s="29"/>
      <c r="T82" s="29"/>
      <c r="U82" s="49"/>
      <c r="V82" s="22"/>
      <c r="W82" s="25">
        <f t="shared" si="43"/>
        <v>8150</v>
      </c>
      <c r="X82" s="30">
        <f t="shared" si="44"/>
        <v>5561.888169</v>
      </c>
      <c r="Y82" s="22" t="s">
        <v>434</v>
      </c>
      <c r="Z82" s="21"/>
      <c r="AA82" s="21"/>
      <c r="AB82" s="21"/>
      <c r="AC82" s="21"/>
    </row>
    <row r="83" ht="14.25" customHeight="1">
      <c r="A83" s="22" t="s">
        <v>436</v>
      </c>
      <c r="B83" s="24" t="s">
        <v>338</v>
      </c>
      <c r="C83" s="23" t="s">
        <v>77</v>
      </c>
      <c r="D83" s="22"/>
      <c r="E83" s="22"/>
      <c r="F83" s="23" t="s">
        <v>125</v>
      </c>
      <c r="G83" s="23"/>
      <c r="H83" s="23" t="s">
        <v>437</v>
      </c>
      <c r="I83" s="33"/>
      <c r="J83" s="46"/>
      <c r="K83" s="50"/>
      <c r="L83" s="50"/>
      <c r="M83" s="38">
        <v>0.174</v>
      </c>
      <c r="N83" s="38">
        <v>0.02</v>
      </c>
      <c r="O83" s="29"/>
      <c r="P83" s="29"/>
      <c r="Q83" s="30">
        <f>4.6*10^5</f>
        <v>460000</v>
      </c>
      <c r="R83" s="29">
        <f>1.7*10^5/sqrt(3)</f>
        <v>98149.54576</v>
      </c>
      <c r="S83" s="29"/>
      <c r="T83" s="29"/>
      <c r="U83" s="49"/>
      <c r="V83" s="22"/>
      <c r="W83" s="25">
        <f t="shared" si="43"/>
        <v>80040</v>
      </c>
      <c r="X83" s="30">
        <f t="shared" si="44"/>
        <v>19398.42262</v>
      </c>
      <c r="Y83" s="22" t="s">
        <v>438</v>
      </c>
      <c r="Z83" s="21"/>
      <c r="AA83" s="21"/>
      <c r="AB83" s="21"/>
      <c r="AC83" s="21"/>
    </row>
    <row r="84" ht="14.25" customHeight="1">
      <c r="A84" s="22" t="s">
        <v>439</v>
      </c>
      <c r="B84" s="24" t="s">
        <v>338</v>
      </c>
      <c r="C84" s="23" t="s">
        <v>77</v>
      </c>
      <c r="D84" s="22"/>
      <c r="E84" s="22"/>
      <c r="F84" s="23" t="s">
        <v>125</v>
      </c>
      <c r="G84" s="23"/>
      <c r="H84" s="23" t="s">
        <v>437</v>
      </c>
      <c r="I84" s="33"/>
      <c r="J84" s="36"/>
      <c r="K84" s="36"/>
      <c r="L84" s="36"/>
      <c r="M84" s="38">
        <v>0.26</v>
      </c>
      <c r="N84" s="38">
        <v>0.09</v>
      </c>
      <c r="O84" s="29"/>
      <c r="P84" s="29"/>
      <c r="Q84" s="30">
        <v>560000.0</v>
      </c>
      <c r="R84" s="30">
        <v>50000.0</v>
      </c>
      <c r="S84" s="29"/>
      <c r="T84" s="29"/>
      <c r="U84" s="49"/>
      <c r="V84" s="22"/>
      <c r="W84" s="25">
        <f t="shared" si="43"/>
        <v>145600</v>
      </c>
      <c r="X84" s="30">
        <f t="shared" si="44"/>
        <v>52049.59174</v>
      </c>
      <c r="Y84" s="22" t="s">
        <v>440</v>
      </c>
      <c r="Z84" s="21"/>
      <c r="AA84" s="21"/>
      <c r="AB84" s="21"/>
      <c r="AC84" s="21"/>
    </row>
    <row r="85" ht="14.25" customHeight="1">
      <c r="A85" s="22" t="s">
        <v>441</v>
      </c>
      <c r="B85" s="23" t="s">
        <v>331</v>
      </c>
      <c r="C85" s="23" t="s">
        <v>77</v>
      </c>
      <c r="D85" s="22"/>
      <c r="E85" s="22"/>
      <c r="F85" s="23" t="s">
        <v>125</v>
      </c>
      <c r="G85" s="23"/>
      <c r="H85" s="23" t="s">
        <v>155</v>
      </c>
      <c r="I85" s="33"/>
      <c r="J85" s="36"/>
      <c r="K85" s="36"/>
      <c r="L85" s="36"/>
      <c r="M85" s="32">
        <v>0.89</v>
      </c>
      <c r="N85" s="32">
        <v>0.21</v>
      </c>
      <c r="O85" s="29"/>
      <c r="P85" s="29"/>
      <c r="Q85" s="30"/>
      <c r="R85" s="30"/>
      <c r="S85" s="29"/>
      <c r="T85" s="29"/>
      <c r="U85" s="49"/>
      <c r="V85" s="22"/>
      <c r="W85" s="25"/>
      <c r="X85" s="30"/>
      <c r="Y85" s="22" t="s">
        <v>442</v>
      </c>
      <c r="Z85" s="21"/>
      <c r="AA85" s="21"/>
      <c r="AB85" s="21"/>
      <c r="AC85" s="21"/>
    </row>
    <row r="86" ht="14.25" customHeight="1">
      <c r="A86" s="22" t="s">
        <v>441</v>
      </c>
      <c r="B86" s="23" t="s">
        <v>333</v>
      </c>
      <c r="C86" s="23" t="s">
        <v>77</v>
      </c>
      <c r="D86" s="22"/>
      <c r="E86" s="22"/>
      <c r="F86" s="23" t="s">
        <v>125</v>
      </c>
      <c r="G86" s="23"/>
      <c r="H86" s="23" t="s">
        <v>155</v>
      </c>
      <c r="I86" s="33"/>
      <c r="J86" s="46"/>
      <c r="K86" s="50"/>
      <c r="L86" s="50"/>
      <c r="M86" s="32">
        <v>0.01</v>
      </c>
      <c r="N86" s="38">
        <v>0.007</v>
      </c>
      <c r="O86" s="29"/>
      <c r="P86" s="29"/>
      <c r="Q86" s="21"/>
      <c r="R86" s="21"/>
      <c r="S86" s="29"/>
      <c r="T86" s="29"/>
      <c r="U86" s="49"/>
      <c r="V86" s="22"/>
      <c r="W86" s="25"/>
      <c r="X86" s="25"/>
      <c r="Y86" s="22" t="s">
        <v>442</v>
      </c>
      <c r="Z86" s="21"/>
      <c r="AA86" s="21"/>
      <c r="AB86" s="21"/>
      <c r="AC86" s="21"/>
    </row>
    <row r="87" ht="14.25" customHeight="1">
      <c r="A87" s="22" t="s">
        <v>441</v>
      </c>
      <c r="B87" s="23" t="s">
        <v>334</v>
      </c>
      <c r="C87" s="23" t="s">
        <v>77</v>
      </c>
      <c r="D87" s="22"/>
      <c r="E87" s="22"/>
      <c r="F87" s="23" t="s">
        <v>125</v>
      </c>
      <c r="G87" s="23"/>
      <c r="H87" s="23" t="s">
        <v>155</v>
      </c>
      <c r="I87" s="33"/>
      <c r="J87" s="36"/>
      <c r="K87" s="36"/>
      <c r="L87" s="36"/>
      <c r="M87" s="32">
        <v>0.06</v>
      </c>
      <c r="N87" s="32">
        <v>0.016</v>
      </c>
      <c r="O87" s="29"/>
      <c r="P87" s="29"/>
      <c r="Q87" s="30"/>
      <c r="R87" s="30"/>
      <c r="S87" s="29"/>
      <c r="T87" s="29"/>
      <c r="U87" s="49"/>
      <c r="V87" s="22"/>
      <c r="W87" s="25"/>
      <c r="X87" s="30"/>
      <c r="Y87" s="22" t="s">
        <v>442</v>
      </c>
      <c r="Z87" s="21"/>
      <c r="AA87" s="21"/>
      <c r="AB87" s="21"/>
      <c r="AC87" s="21"/>
    </row>
    <row r="88" ht="14.25" customHeight="1">
      <c r="A88" s="22" t="s">
        <v>443</v>
      </c>
      <c r="B88" s="22" t="s">
        <v>335</v>
      </c>
      <c r="C88" s="23" t="s">
        <v>77</v>
      </c>
      <c r="D88" s="22"/>
      <c r="E88" s="22"/>
      <c r="F88" s="23" t="s">
        <v>125</v>
      </c>
      <c r="G88" s="23"/>
      <c r="H88" s="23" t="s">
        <v>142</v>
      </c>
      <c r="I88" s="33"/>
      <c r="J88" s="36"/>
      <c r="K88" s="36"/>
      <c r="L88" s="36"/>
      <c r="M88" s="32">
        <v>0.08</v>
      </c>
      <c r="N88" s="32">
        <v>0.04</v>
      </c>
      <c r="O88" s="29"/>
      <c r="P88" s="29"/>
      <c r="Q88" s="30">
        <f>AVERAGE(Q83:Q84)</f>
        <v>510000</v>
      </c>
      <c r="R88" s="30">
        <f>sqrt(sumsq(stdev(Q83:Q84), average(R83:R84)))</f>
        <v>102406.4059</v>
      </c>
      <c r="S88" s="29"/>
      <c r="T88" s="29"/>
      <c r="U88" s="49"/>
      <c r="V88" s="22"/>
      <c r="W88" s="25">
        <f>Q88*M88</f>
        <v>40800</v>
      </c>
      <c r="X88" s="30">
        <f>sqrt(sumsq(M88*R88,N88*Q88))</f>
        <v>21983.56797</v>
      </c>
      <c r="Y88" s="22" t="s">
        <v>444</v>
      </c>
      <c r="Z88" s="21"/>
      <c r="AA88" s="21"/>
      <c r="AB88" s="21"/>
      <c r="AC88" s="21"/>
    </row>
    <row r="89" ht="14.25" customHeight="1">
      <c r="A89" s="22" t="s">
        <v>166</v>
      </c>
      <c r="B89" s="23" t="s">
        <v>331</v>
      </c>
      <c r="C89" s="22" t="s">
        <v>41</v>
      </c>
      <c r="D89" s="23" t="s">
        <v>445</v>
      </c>
      <c r="E89" s="23"/>
      <c r="F89" s="23" t="s">
        <v>125</v>
      </c>
      <c r="G89" s="23" t="s">
        <v>167</v>
      </c>
      <c r="H89" s="23" t="s">
        <v>168</v>
      </c>
      <c r="I89" s="33">
        <f t="shared" ref="I89:I93" si="48">10^6</f>
        <v>1000000</v>
      </c>
      <c r="J89" s="46">
        <v>0.0</v>
      </c>
      <c r="K89" s="46">
        <f>3500*0.012</f>
        <v>42</v>
      </c>
      <c r="L89" s="46">
        <f t="shared" ref="L89:L92" si="49">200/3500*K89</f>
        <v>2.4</v>
      </c>
      <c r="M89" s="38"/>
      <c r="N89" s="38"/>
      <c r="O89" s="35"/>
      <c r="P89" s="35"/>
      <c r="Q89" s="21"/>
      <c r="R89" s="21"/>
      <c r="S89" s="22"/>
      <c r="T89" s="22"/>
      <c r="U89" s="22"/>
      <c r="V89" s="22"/>
      <c r="W89" s="25">
        <f t="shared" ref="W89:X89" si="47">K89/$I89/($J89+8)*10^12</f>
        <v>5250000</v>
      </c>
      <c r="X89" s="25">
        <f t="shared" si="47"/>
        <v>300000</v>
      </c>
      <c r="Y89" s="22" t="s">
        <v>446</v>
      </c>
      <c r="Z89" s="21"/>
      <c r="AA89" s="21"/>
      <c r="AB89" s="21"/>
      <c r="AC89" s="21"/>
    </row>
    <row r="90" ht="14.25" customHeight="1">
      <c r="A90" s="22" t="s">
        <v>166</v>
      </c>
      <c r="B90" s="23" t="s">
        <v>333</v>
      </c>
      <c r="C90" s="22" t="s">
        <v>41</v>
      </c>
      <c r="D90" s="23" t="s">
        <v>445</v>
      </c>
      <c r="E90" s="23"/>
      <c r="F90" s="23" t="s">
        <v>125</v>
      </c>
      <c r="G90" s="23" t="s">
        <v>167</v>
      </c>
      <c r="H90" s="23" t="s">
        <v>168</v>
      </c>
      <c r="I90" s="33">
        <f t="shared" si="48"/>
        <v>1000000</v>
      </c>
      <c r="J90" s="46">
        <v>0.0</v>
      </c>
      <c r="K90" s="46">
        <f>3500*0.014</f>
        <v>49</v>
      </c>
      <c r="L90" s="46">
        <f t="shared" si="49"/>
        <v>2.8</v>
      </c>
      <c r="M90" s="38"/>
      <c r="N90" s="38"/>
      <c r="O90" s="35"/>
      <c r="P90" s="35"/>
      <c r="Q90" s="21"/>
      <c r="R90" s="21"/>
      <c r="S90" s="22"/>
      <c r="T90" s="22"/>
      <c r="U90" s="22"/>
      <c r="V90" s="22"/>
      <c r="W90" s="25">
        <f t="shared" ref="W90:X90" si="50">K90/$I90/($J90+8)*10^12</f>
        <v>6125000</v>
      </c>
      <c r="X90" s="25">
        <f t="shared" si="50"/>
        <v>350000</v>
      </c>
      <c r="Y90" s="22" t="s">
        <v>446</v>
      </c>
      <c r="Z90" s="21"/>
      <c r="AA90" s="21"/>
      <c r="AB90" s="21"/>
      <c r="AC90" s="21"/>
    </row>
    <row r="91" ht="14.25" customHeight="1">
      <c r="A91" s="22" t="s">
        <v>166</v>
      </c>
      <c r="B91" s="23" t="s">
        <v>331</v>
      </c>
      <c r="C91" s="22" t="s">
        <v>41</v>
      </c>
      <c r="D91" s="23" t="s">
        <v>44</v>
      </c>
      <c r="E91" s="23"/>
      <c r="F91" s="23" t="s">
        <v>125</v>
      </c>
      <c r="G91" s="23" t="s">
        <v>167</v>
      </c>
      <c r="H91" s="23" t="s">
        <v>168</v>
      </c>
      <c r="I91" s="33">
        <f t="shared" si="48"/>
        <v>1000000</v>
      </c>
      <c r="J91" s="46">
        <v>0.0</v>
      </c>
      <c r="K91" s="46">
        <f>3500*0.013</f>
        <v>45.5</v>
      </c>
      <c r="L91" s="46">
        <f t="shared" si="49"/>
        <v>2.6</v>
      </c>
      <c r="M91" s="38"/>
      <c r="N91" s="38"/>
      <c r="O91" s="35"/>
      <c r="P91" s="35"/>
      <c r="Q91" s="21"/>
      <c r="R91" s="21"/>
      <c r="S91" s="22"/>
      <c r="T91" s="22"/>
      <c r="U91" s="22"/>
      <c r="V91" s="22"/>
      <c r="W91" s="25">
        <f t="shared" ref="W91:X91" si="51">K91/$I91/($J91+8)*10^12</f>
        <v>5687500</v>
      </c>
      <c r="X91" s="25">
        <f t="shared" si="51"/>
        <v>325000</v>
      </c>
      <c r="Y91" s="22" t="s">
        <v>446</v>
      </c>
      <c r="Z91" s="21"/>
      <c r="AA91" s="21"/>
      <c r="AB91" s="21"/>
      <c r="AC91" s="21"/>
    </row>
    <row r="92" ht="14.25" customHeight="1">
      <c r="A92" s="22" t="s">
        <v>166</v>
      </c>
      <c r="B92" s="23" t="s">
        <v>333</v>
      </c>
      <c r="C92" s="22" t="s">
        <v>41</v>
      </c>
      <c r="D92" s="23" t="s">
        <v>44</v>
      </c>
      <c r="E92" s="23"/>
      <c r="F92" s="23" t="s">
        <v>125</v>
      </c>
      <c r="G92" s="23" t="s">
        <v>167</v>
      </c>
      <c r="H92" s="23" t="s">
        <v>168</v>
      </c>
      <c r="I92" s="33">
        <f t="shared" si="48"/>
        <v>1000000</v>
      </c>
      <c r="J92" s="46">
        <v>0.0</v>
      </c>
      <c r="K92" s="46">
        <f>3500*0.002</f>
        <v>7</v>
      </c>
      <c r="L92" s="46">
        <f t="shared" si="49"/>
        <v>0.4</v>
      </c>
      <c r="M92" s="38"/>
      <c r="N92" s="38"/>
      <c r="O92" s="35"/>
      <c r="P92" s="35"/>
      <c r="Q92" s="21"/>
      <c r="R92" s="21"/>
      <c r="S92" s="22"/>
      <c r="T92" s="22"/>
      <c r="U92" s="22"/>
      <c r="V92" s="22"/>
      <c r="W92" s="25">
        <f t="shared" ref="W92:X92" si="52">K92/$I92/($J92+8)*10^12</f>
        <v>875000</v>
      </c>
      <c r="X92" s="25">
        <f t="shared" si="52"/>
        <v>50000</v>
      </c>
      <c r="Y92" s="22" t="s">
        <v>446</v>
      </c>
      <c r="Z92" s="21"/>
      <c r="AA92" s="21"/>
      <c r="AB92" s="21"/>
      <c r="AC92" s="21"/>
    </row>
    <row r="93" ht="14.25" customHeight="1">
      <c r="A93" s="22" t="s">
        <v>170</v>
      </c>
      <c r="B93" s="23" t="s">
        <v>331</v>
      </c>
      <c r="C93" s="23" t="s">
        <v>72</v>
      </c>
      <c r="D93" s="23"/>
      <c r="E93" s="23" t="s">
        <v>171</v>
      </c>
      <c r="F93" s="23" t="s">
        <v>125</v>
      </c>
      <c r="G93" s="23" t="s">
        <v>172</v>
      </c>
      <c r="H93" s="23" t="s">
        <v>127</v>
      </c>
      <c r="I93" s="33">
        <f t="shared" si="48"/>
        <v>1000000</v>
      </c>
      <c r="J93" s="46">
        <v>8.0</v>
      </c>
      <c r="K93" s="46">
        <v>4.0</v>
      </c>
      <c r="L93" s="63">
        <f>1/sqrt(5)</f>
        <v>0.4472135955</v>
      </c>
      <c r="M93" s="38"/>
      <c r="N93" s="38"/>
      <c r="O93" s="35"/>
      <c r="P93" s="35"/>
      <c r="Q93" s="21"/>
      <c r="R93" s="21"/>
      <c r="S93" s="22"/>
      <c r="T93" s="22"/>
      <c r="U93" s="22"/>
      <c r="V93" s="22"/>
      <c r="W93" s="25">
        <f t="shared" ref="W93:X93" si="53">K93/$I93/($J93+8)*10^12</f>
        <v>250000</v>
      </c>
      <c r="X93" s="25">
        <f t="shared" si="53"/>
        <v>27950.84972</v>
      </c>
      <c r="Y93" s="26" t="s">
        <v>173</v>
      </c>
      <c r="Z93" s="21"/>
      <c r="AA93" s="21"/>
      <c r="AB93" s="21"/>
      <c r="AC93" s="21"/>
    </row>
    <row r="94" ht="14.25" customHeight="1">
      <c r="A94" s="22" t="s">
        <v>447</v>
      </c>
      <c r="B94" s="23" t="s">
        <v>333</v>
      </c>
      <c r="C94" s="23" t="s">
        <v>72</v>
      </c>
      <c r="D94" s="23"/>
      <c r="E94" s="23" t="s">
        <v>171</v>
      </c>
      <c r="F94" s="23" t="s">
        <v>125</v>
      </c>
      <c r="G94" s="23" t="s">
        <v>172</v>
      </c>
      <c r="H94" s="23" t="s">
        <v>448</v>
      </c>
      <c r="I94" s="33"/>
      <c r="J94" s="46"/>
      <c r="K94" s="46"/>
      <c r="L94" s="63"/>
      <c r="M94" s="32">
        <v>0.04</v>
      </c>
      <c r="N94" s="32">
        <v>0.02</v>
      </c>
      <c r="O94" s="35"/>
      <c r="P94" s="35"/>
      <c r="Q94" s="30">
        <f t="shared" ref="Q94:R94" si="54">W93</f>
        <v>250000</v>
      </c>
      <c r="R94" s="30">
        <f t="shared" si="54"/>
        <v>27950.84972</v>
      </c>
      <c r="S94" s="22"/>
      <c r="T94" s="22"/>
      <c r="U94" s="22"/>
      <c r="V94" s="22"/>
      <c r="W94" s="25">
        <f t="shared" ref="W94:W95" si="56">Q94*M94</f>
        <v>10000</v>
      </c>
      <c r="X94" s="30">
        <f t="shared" ref="X94:X95" si="57">sqrt(sumsq(M94*R94,N94*Q94))</f>
        <v>5123.475383</v>
      </c>
      <c r="Y94" s="26" t="s">
        <v>449</v>
      </c>
      <c r="Z94" s="21"/>
      <c r="AA94" s="21"/>
      <c r="AB94" s="21"/>
      <c r="AC94" s="21"/>
    </row>
    <row r="95" ht="14.25" customHeight="1">
      <c r="A95" s="22" t="s">
        <v>447</v>
      </c>
      <c r="B95" s="23" t="s">
        <v>334</v>
      </c>
      <c r="C95" s="23" t="s">
        <v>72</v>
      </c>
      <c r="D95" s="23"/>
      <c r="E95" s="23" t="s">
        <v>171</v>
      </c>
      <c r="F95" s="23" t="s">
        <v>125</v>
      </c>
      <c r="G95" s="23" t="s">
        <v>172</v>
      </c>
      <c r="H95" s="23" t="s">
        <v>448</v>
      </c>
      <c r="I95" s="33"/>
      <c r="J95" s="46"/>
      <c r="K95" s="46"/>
      <c r="L95" s="63"/>
      <c r="M95" s="32">
        <v>0.1</v>
      </c>
      <c r="N95" s="32">
        <v>0.05</v>
      </c>
      <c r="O95" s="35"/>
      <c r="P95" s="35"/>
      <c r="Q95" s="30">
        <f t="shared" ref="Q95:R95" si="55">W93</f>
        <v>250000</v>
      </c>
      <c r="R95" s="30">
        <f t="shared" si="55"/>
        <v>27950.84972</v>
      </c>
      <c r="S95" s="22"/>
      <c r="T95" s="22"/>
      <c r="U95" s="22"/>
      <c r="V95" s="22"/>
      <c r="W95" s="25">
        <f t="shared" si="56"/>
        <v>25000</v>
      </c>
      <c r="X95" s="30">
        <f t="shared" si="57"/>
        <v>12808.68846</v>
      </c>
      <c r="Y95" s="26" t="s">
        <v>449</v>
      </c>
      <c r="Z95" s="21"/>
      <c r="AA95" s="21"/>
      <c r="AB95" s="21"/>
      <c r="AC95" s="21"/>
    </row>
    <row r="96" ht="14.25" customHeight="1">
      <c r="A96" s="22" t="s">
        <v>450</v>
      </c>
      <c r="B96" s="23" t="s">
        <v>331</v>
      </c>
      <c r="C96" s="23" t="s">
        <v>79</v>
      </c>
      <c r="D96" s="23"/>
      <c r="E96" s="23"/>
      <c r="F96" s="23" t="s">
        <v>125</v>
      </c>
      <c r="G96" s="23"/>
      <c r="H96" s="23" t="s">
        <v>451</v>
      </c>
      <c r="I96" s="33">
        <f t="shared" ref="I96:I97" si="59">10^8</f>
        <v>100000000</v>
      </c>
      <c r="J96" s="46">
        <v>6.0</v>
      </c>
      <c r="K96" s="46">
        <v>140.0</v>
      </c>
      <c r="L96" s="63">
        <v>18.1</v>
      </c>
      <c r="M96" s="38"/>
      <c r="N96" s="38"/>
      <c r="O96" s="35"/>
      <c r="P96" s="35"/>
      <c r="Q96" s="21"/>
      <c r="R96" s="21"/>
      <c r="S96" s="22"/>
      <c r="T96" s="22"/>
      <c r="U96" s="22"/>
      <c r="V96" s="22"/>
      <c r="W96" s="25">
        <f t="shared" ref="W96:X96" si="58">K96/$I96/($J96+8)*10^12</f>
        <v>100000</v>
      </c>
      <c r="X96" s="25">
        <f t="shared" si="58"/>
        <v>12928.57143</v>
      </c>
      <c r="Y96" s="26" t="s">
        <v>452</v>
      </c>
      <c r="Z96" s="21"/>
      <c r="AA96" s="21"/>
      <c r="AB96" s="21"/>
      <c r="AC96" s="21"/>
    </row>
    <row r="97" ht="14.25" customHeight="1">
      <c r="A97" s="22" t="s">
        <v>450</v>
      </c>
      <c r="B97" s="23" t="s">
        <v>333</v>
      </c>
      <c r="C97" s="23" t="s">
        <v>79</v>
      </c>
      <c r="D97" s="23"/>
      <c r="E97" s="23"/>
      <c r="F97" s="23" t="s">
        <v>125</v>
      </c>
      <c r="G97" s="23"/>
      <c r="H97" s="23" t="s">
        <v>451</v>
      </c>
      <c r="I97" s="33">
        <f t="shared" si="59"/>
        <v>100000000</v>
      </c>
      <c r="J97" s="46">
        <v>6.0</v>
      </c>
      <c r="K97" s="46">
        <v>14.0</v>
      </c>
      <c r="L97" s="63">
        <v>1.7</v>
      </c>
      <c r="M97" s="38"/>
      <c r="N97" s="38"/>
      <c r="O97" s="35"/>
      <c r="P97" s="35"/>
      <c r="Q97" s="21"/>
      <c r="R97" s="21"/>
      <c r="S97" s="22"/>
      <c r="T97" s="22"/>
      <c r="U97" s="22"/>
      <c r="V97" s="22"/>
      <c r="W97" s="25">
        <f t="shared" ref="W97:X97" si="60">K97/$I97/($J97+8)*10^12</f>
        <v>10000</v>
      </c>
      <c r="X97" s="25">
        <f t="shared" si="60"/>
        <v>1214.285714</v>
      </c>
      <c r="Y97" s="26" t="s">
        <v>452</v>
      </c>
      <c r="Z97" s="21"/>
      <c r="AA97" s="21"/>
      <c r="AB97" s="21"/>
      <c r="AC97" s="21"/>
    </row>
    <row r="98" ht="14.25" customHeight="1">
      <c r="A98" s="22" t="s">
        <v>453</v>
      </c>
      <c r="B98" s="23" t="s">
        <v>331</v>
      </c>
      <c r="C98" s="23" t="s">
        <v>74</v>
      </c>
      <c r="D98" s="23"/>
      <c r="E98" s="23"/>
      <c r="F98" s="23" t="s">
        <v>125</v>
      </c>
      <c r="G98" s="23"/>
      <c r="H98" s="23" t="s">
        <v>142</v>
      </c>
      <c r="I98" s="33"/>
      <c r="J98" s="46"/>
      <c r="K98" s="46"/>
      <c r="L98" s="63"/>
      <c r="M98" s="38">
        <v>0.04</v>
      </c>
      <c r="N98" s="38">
        <v>0.005</v>
      </c>
      <c r="O98" s="30">
        <f t="shared" ref="O98:O99" si="61">1.8*10^10*2.8%</f>
        <v>504000000</v>
      </c>
      <c r="P98" s="30">
        <f t="shared" ref="P98:P99" si="62">1.8*10^10*1.2%</f>
        <v>216000000</v>
      </c>
      <c r="R98" s="21"/>
      <c r="S98" s="47">
        <f t="shared" ref="S98:S99" si="63">O98*M98</f>
        <v>20160000</v>
      </c>
      <c r="T98" s="29">
        <f t="shared" ref="T98:T99" si="64">sqrt(sumsq(N98*O98,P98*M98))</f>
        <v>9000000</v>
      </c>
      <c r="U98" s="22">
        <f>Tissues!$D$47</f>
        <v>330</v>
      </c>
      <c r="V98" s="22"/>
      <c r="W98" s="25">
        <f t="shared" ref="W98:W99" si="65">S98/U98</f>
        <v>61090.90909</v>
      </c>
      <c r="X98" s="25">
        <f t="shared" ref="X98:X99" si="66">sqrt(sumsq(V98/U98,T98/S98))*W98</f>
        <v>27272.72727</v>
      </c>
      <c r="Y98" s="26" t="s">
        <v>454</v>
      </c>
      <c r="Z98" s="21"/>
      <c r="AA98" s="21"/>
      <c r="AB98" s="21"/>
      <c r="AC98" s="21"/>
    </row>
    <row r="99" ht="14.25" customHeight="1">
      <c r="A99" s="22" t="s">
        <v>453</v>
      </c>
      <c r="B99" s="23" t="s">
        <v>333</v>
      </c>
      <c r="C99" s="23" t="s">
        <v>74</v>
      </c>
      <c r="D99" s="23"/>
      <c r="E99" s="23"/>
      <c r="F99" s="23" t="s">
        <v>125</v>
      </c>
      <c r="G99" s="23"/>
      <c r="H99" s="23" t="s">
        <v>142</v>
      </c>
      <c r="I99" s="33"/>
      <c r="J99" s="46"/>
      <c r="K99" s="46"/>
      <c r="L99" s="63"/>
      <c r="M99" s="38">
        <v>0.1</v>
      </c>
      <c r="N99" s="32">
        <v>0.01</v>
      </c>
      <c r="O99" s="30">
        <f t="shared" si="61"/>
        <v>504000000</v>
      </c>
      <c r="P99" s="30">
        <f t="shared" si="62"/>
        <v>216000000</v>
      </c>
      <c r="Q99" s="21"/>
      <c r="R99" s="21"/>
      <c r="S99" s="47">
        <f t="shared" si="63"/>
        <v>50400000</v>
      </c>
      <c r="T99" s="29">
        <f t="shared" si="64"/>
        <v>22180207.39</v>
      </c>
      <c r="U99" s="22">
        <f>Tissues!$D$47</f>
        <v>330</v>
      </c>
      <c r="V99" s="22"/>
      <c r="W99" s="25">
        <f t="shared" si="65"/>
        <v>152727.2727</v>
      </c>
      <c r="X99" s="25">
        <f t="shared" si="66"/>
        <v>67212.74968</v>
      </c>
      <c r="Y99" s="26" t="s">
        <v>454</v>
      </c>
      <c r="Z99" s="21"/>
      <c r="AA99" s="21"/>
      <c r="AB99" s="21"/>
      <c r="AC99" s="21"/>
    </row>
    <row r="100" ht="14.25" customHeight="1">
      <c r="A100" s="22"/>
      <c r="B100" s="23"/>
      <c r="C100" s="23"/>
      <c r="D100" s="23"/>
      <c r="E100" s="23"/>
      <c r="F100" s="23"/>
      <c r="G100" s="23"/>
      <c r="H100" s="23"/>
      <c r="I100" s="33"/>
      <c r="J100" s="46"/>
      <c r="K100" s="46"/>
      <c r="L100" s="63"/>
      <c r="N100" s="38"/>
      <c r="O100" s="35"/>
      <c r="P100" s="35"/>
      <c r="Q100" s="21"/>
      <c r="R100" s="21"/>
      <c r="S100" s="22"/>
      <c r="T100" s="22"/>
      <c r="U100" s="22"/>
      <c r="V100" s="22"/>
      <c r="W100" s="25"/>
      <c r="X100" s="25"/>
      <c r="Y100" s="26"/>
      <c r="Z100" s="21"/>
      <c r="AA100" s="21"/>
      <c r="AB100" s="21"/>
      <c r="AC100" s="21"/>
    </row>
    <row r="101" ht="14.25" customHeight="1">
      <c r="C101" s="55"/>
      <c r="D101" s="61"/>
      <c r="E101" s="61"/>
      <c r="F101" s="64"/>
      <c r="G101" s="55"/>
      <c r="H101" s="55"/>
      <c r="I101" s="55"/>
      <c r="J101" s="55"/>
      <c r="K101" s="55"/>
      <c r="L101" s="55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14.25" customHeight="1">
      <c r="C102" s="55"/>
      <c r="D102" s="65"/>
      <c r="E102" s="65"/>
      <c r="F102" s="55"/>
      <c r="G102" s="55"/>
      <c r="H102" s="55"/>
      <c r="I102" s="55"/>
      <c r="J102" s="55"/>
      <c r="K102" s="55"/>
      <c r="L102" s="55"/>
      <c r="M102" s="21"/>
      <c r="N102" s="21"/>
      <c r="O102" s="66"/>
      <c r="P102" s="66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14.25" customHeight="1">
      <c r="C103" s="55"/>
      <c r="D103" s="65"/>
      <c r="E103" s="64"/>
      <c r="F103" s="55"/>
      <c r="G103" s="55"/>
      <c r="H103" s="55"/>
      <c r="I103" s="55"/>
      <c r="J103" s="55"/>
      <c r="K103" s="55"/>
      <c r="L103" s="55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14.25" customHeight="1">
      <c r="C104" s="64"/>
      <c r="D104" s="55"/>
      <c r="E104" s="55"/>
      <c r="F104" s="55"/>
      <c r="G104" s="55"/>
      <c r="H104" s="55"/>
      <c r="I104" s="55"/>
      <c r="J104" s="55"/>
      <c r="K104" s="55"/>
      <c r="L104" s="55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14.25" customHeight="1">
      <c r="C105" s="67"/>
      <c r="D105" s="68"/>
      <c r="E105" s="55"/>
      <c r="F105" s="55"/>
      <c r="G105" s="55"/>
      <c r="H105" s="55"/>
      <c r="I105" s="55"/>
      <c r="J105" s="55"/>
      <c r="K105" s="55"/>
      <c r="L105" s="5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4.25" customHeight="1"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4.25" customHeight="1"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4.25" customHeight="1">
      <c r="C108" s="69"/>
      <c r="D108" s="55"/>
      <c r="E108" s="55"/>
      <c r="F108" s="56"/>
      <c r="G108" s="56"/>
      <c r="H108" s="56"/>
      <c r="I108" s="70"/>
      <c r="J108" s="55"/>
      <c r="K108" s="55"/>
      <c r="L108" s="5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4.25" customHeight="1">
      <c r="C109" s="55"/>
      <c r="D109" s="61"/>
      <c r="E109" s="55"/>
      <c r="F109" s="56"/>
      <c r="G109" s="56"/>
      <c r="H109" s="56"/>
      <c r="I109" s="56"/>
      <c r="J109" s="55"/>
      <c r="K109" s="55"/>
      <c r="L109" s="5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4.25" customHeight="1">
      <c r="A110" s="5"/>
      <c r="B110" s="5"/>
      <c r="C110" s="55"/>
      <c r="D110" s="61"/>
      <c r="E110" s="55"/>
      <c r="F110" s="55"/>
      <c r="G110" s="55"/>
      <c r="H110" s="56"/>
      <c r="I110" s="56"/>
      <c r="J110" s="55"/>
      <c r="K110" s="55"/>
      <c r="L110" s="5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4.25" customHeight="1">
      <c r="A111" s="5"/>
      <c r="B111" s="5"/>
      <c r="C111" s="55"/>
      <c r="D111" s="61"/>
      <c r="E111" s="61"/>
      <c r="F111" s="55"/>
      <c r="G111" s="55"/>
      <c r="H111" s="55"/>
      <c r="I111" s="70"/>
      <c r="J111" s="55"/>
      <c r="K111" s="71"/>
      <c r="L111" s="5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4.25" customHeight="1">
      <c r="A112" s="5"/>
      <c r="B112" s="5"/>
      <c r="C112" s="55"/>
      <c r="D112" s="70"/>
      <c r="E112" s="70"/>
      <c r="F112" s="56"/>
      <c r="G112" s="56"/>
      <c r="H112" s="56"/>
      <c r="I112" s="70"/>
      <c r="J112" s="55"/>
      <c r="K112" s="72"/>
      <c r="L112" s="5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4.25" customHeight="1">
      <c r="A113" s="5"/>
      <c r="B113" s="5"/>
      <c r="C113" s="67"/>
      <c r="D113" s="70"/>
      <c r="E113" s="70"/>
      <c r="F113" s="73"/>
      <c r="G113" s="56"/>
      <c r="H113" s="56"/>
      <c r="I113" s="70"/>
      <c r="J113" s="55"/>
      <c r="K113" s="72"/>
      <c r="L113" s="5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4.25" customHeight="1">
      <c r="A114" s="5"/>
      <c r="B114" s="5"/>
      <c r="C114" s="55"/>
      <c r="D114" s="70"/>
      <c r="E114" s="70"/>
      <c r="F114" s="56"/>
      <c r="G114" s="56"/>
      <c r="H114" s="56"/>
      <c r="I114" s="56"/>
      <c r="J114" s="55"/>
      <c r="K114" s="72"/>
      <c r="L114" s="5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4.25" customHeight="1">
      <c r="A115" s="5"/>
      <c r="B115" s="5"/>
      <c r="C115" s="55"/>
      <c r="D115" s="61"/>
      <c r="E115" s="74"/>
      <c r="F115" s="72"/>
      <c r="G115" s="72"/>
      <c r="H115" s="72"/>
      <c r="I115" s="75"/>
      <c r="J115" s="55"/>
      <c r="K115" s="76"/>
      <c r="L115" s="5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4.25" customHeight="1">
      <c r="A116" s="5"/>
      <c r="B116" s="5"/>
      <c r="C116" s="55"/>
      <c r="D116" s="61"/>
      <c r="E116" s="74"/>
      <c r="F116" s="72"/>
      <c r="G116" s="72"/>
      <c r="H116" s="72"/>
      <c r="I116" s="7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4.25" customHeight="1">
      <c r="A117" s="5"/>
      <c r="B117" s="5"/>
      <c r="C117" s="55"/>
      <c r="D117" s="61"/>
      <c r="E117" s="74"/>
      <c r="F117" s="72"/>
      <c r="G117" s="75"/>
      <c r="H117" s="75"/>
      <c r="I117" s="7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4.25" customHeight="1">
      <c r="A118" s="5"/>
      <c r="B118" s="5"/>
      <c r="C118" s="55"/>
      <c r="D118" s="55"/>
      <c r="E118" s="55"/>
      <c r="F118" s="55"/>
      <c r="G118" s="55"/>
      <c r="H118" s="55"/>
      <c r="I118" s="7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ht="14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ht="14.2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ht="14.2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ht="14.2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ht="14.2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ht="14.2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ht="14.2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ht="14.2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ht="14.2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ht="14.2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ht="14.2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ht="14.2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ht="14.2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ht="14.2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ht="14.2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ht="14.2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ht="14.2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 ht="14.2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 ht="14.2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 ht="14.2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 ht="14.2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 ht="14.2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 ht="14.2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 ht="14.2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 ht="14.2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 ht="14.2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 ht="14.2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 ht="14.2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 ht="14.2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 ht="14.2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 ht="14.2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 ht="14.2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 ht="14.2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 ht="14.2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 ht="14.2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 ht="14.25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 ht="14.25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 ht="14.25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 ht="14.25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 ht="14.25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ht="14.25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 ht="14.25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 ht="14.25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 ht="14.25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 ht="14.25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 ht="14.25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 ht="14.2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 ht="14.2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 ht="14.2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 ht="14.2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 ht="14.2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 ht="14.2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 ht="14.25" customHeight="1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 ht="14.25" customHeight="1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 ht="14.25" customHeight="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 ht="14.25" customHeight="1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  <row r="1063" ht="14.25" customHeight="1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</row>
    <row r="1064" ht="14.25" customHeight="1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</row>
    <row r="1065" ht="14.25" customHeight="1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</row>
    <row r="1066" ht="14.25" customHeight="1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</row>
    <row r="1067" ht="14.25" customHeight="1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</row>
    <row r="1068" ht="14.25" customHeight="1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</row>
    <row r="1069" ht="14.25" customHeight="1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</row>
    <row r="1070" ht="14.25" customHeight="1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</row>
    <row r="1071" ht="14.25" customHeight="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</row>
    <row r="1072" ht="14.25" customHeight="1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</row>
    <row r="1073" ht="14.25" customHeight="1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</row>
    <row r="1074" ht="14.25" customHeight="1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</row>
    <row r="1075" ht="14.25" customHeight="1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</row>
    <row r="1076" ht="14.25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</row>
    <row r="1077" ht="14.25" customHeight="1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</row>
    <row r="1078" ht="14.25" customHeight="1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</row>
  </sheetData>
  <autoFilter ref="$A$1:$AC$99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29"/>
  </cols>
  <sheetData>
    <row r="1">
      <c r="A1" s="77" t="s">
        <v>194</v>
      </c>
    </row>
    <row r="3">
      <c r="A3" s="55"/>
      <c r="B3" s="55" t="s">
        <v>455</v>
      </c>
      <c r="C3" s="64" t="s">
        <v>456</v>
      </c>
      <c r="D3" s="55"/>
      <c r="E3" s="55" t="s">
        <v>457</v>
      </c>
      <c r="F3" s="55" t="s">
        <v>458</v>
      </c>
      <c r="G3" s="55"/>
      <c r="H3" s="64" t="s">
        <v>459</v>
      </c>
      <c r="I3" s="55"/>
      <c r="J3" s="55"/>
      <c r="K3" s="55"/>
      <c r="L3" s="55"/>
      <c r="M3" s="55"/>
      <c r="N3" s="55"/>
      <c r="O3" s="55"/>
    </row>
    <row r="4">
      <c r="A4" s="55"/>
      <c r="B4" s="55"/>
      <c r="C4" s="55" t="s">
        <v>460</v>
      </c>
      <c r="D4" s="55" t="s">
        <v>461</v>
      </c>
      <c r="E4" s="55"/>
      <c r="F4" s="55" t="s">
        <v>462</v>
      </c>
      <c r="G4" s="55" t="s">
        <v>460</v>
      </c>
      <c r="H4" s="55" t="s">
        <v>4</v>
      </c>
      <c r="I4" s="55"/>
      <c r="J4" s="55" t="s">
        <v>463</v>
      </c>
      <c r="K4" s="55" t="s">
        <v>464</v>
      </c>
      <c r="L4" s="55" t="s">
        <v>465</v>
      </c>
      <c r="M4" s="55" t="s">
        <v>461</v>
      </c>
      <c r="N4" s="55" t="s">
        <v>466</v>
      </c>
      <c r="O4" s="55"/>
      <c r="P4" s="55"/>
    </row>
    <row r="5">
      <c r="A5" s="55"/>
      <c r="B5" s="78" t="s">
        <v>331</v>
      </c>
      <c r="C5" s="65">
        <v>0.348</v>
      </c>
      <c r="D5" s="65">
        <v>0.022135943621178655</v>
      </c>
      <c r="E5" s="79"/>
      <c r="F5" s="65">
        <v>0.09</v>
      </c>
      <c r="G5" s="66">
        <v>0.366</v>
      </c>
      <c r="H5" s="66">
        <v>0.02368807716974934</v>
      </c>
      <c r="I5" s="65">
        <v>0.22</v>
      </c>
      <c r="J5" s="55"/>
      <c r="K5" s="78"/>
      <c r="L5" s="65">
        <f t="shared" ref="L5:L7" si="1">average($C5/sum($C$5:$C$7),$G5/sum($G$5:$G$7),$I5/sum($I$5:$I$7))</f>
        <v>0.5672554234</v>
      </c>
      <c r="M5" s="65">
        <f t="shared" ref="M5:M7" si="2">STDEV($C5/sum($C$5:$C$7),$G5/sum($G$5:$G$7),$I5/sum($I$5:$I$7))</f>
        <v>0.09473328515</v>
      </c>
      <c r="N5" s="65">
        <f t="shared" ref="N5:N6" si="3">(1-$N$7)*L5/sum($L$5:$L$6)</f>
        <v>0.5398647243</v>
      </c>
      <c r="O5" s="72"/>
      <c r="P5" s="72"/>
    </row>
    <row r="6">
      <c r="A6" s="55"/>
      <c r="B6" s="78" t="s">
        <v>333</v>
      </c>
      <c r="C6" s="65">
        <v>0.336</v>
      </c>
      <c r="D6" s="65">
        <v>0.018973665961010275</v>
      </c>
      <c r="E6" s="79"/>
      <c r="F6" s="66">
        <v>0.015</v>
      </c>
      <c r="G6" s="66">
        <v>0.253</v>
      </c>
      <c r="H6" s="66">
        <v>0.04737615433949868</v>
      </c>
      <c r="I6" s="65">
        <v>0.11</v>
      </c>
      <c r="J6" s="55"/>
      <c r="K6" s="78"/>
      <c r="L6" s="65">
        <f t="shared" si="1"/>
        <v>0.3933185029</v>
      </c>
      <c r="M6" s="65">
        <f t="shared" si="2"/>
        <v>0.0644980429</v>
      </c>
      <c r="N6" s="65">
        <f t="shared" si="3"/>
        <v>0.3743265844</v>
      </c>
      <c r="O6" s="72"/>
      <c r="P6" s="72"/>
    </row>
    <row r="7">
      <c r="A7" s="55"/>
      <c r="B7" s="79" t="s">
        <v>334</v>
      </c>
      <c r="C7" s="66">
        <v>0.044</v>
      </c>
      <c r="D7" s="68">
        <v>0.0031622776601683794</v>
      </c>
      <c r="E7" s="79"/>
      <c r="F7" s="79"/>
      <c r="G7" s="66">
        <v>0.038</v>
      </c>
      <c r="H7" s="66">
        <v>0.005303300858899106</v>
      </c>
      <c r="I7" s="78"/>
      <c r="J7" s="65">
        <v>0.18</v>
      </c>
      <c r="K7" s="78" t="s">
        <v>467</v>
      </c>
      <c r="L7" s="65">
        <f t="shared" si="1"/>
        <v>0.03942607367</v>
      </c>
      <c r="M7" s="65">
        <f t="shared" si="2"/>
        <v>0.03416873767</v>
      </c>
      <c r="N7" s="65">
        <f>average(J7,L7, G7)</f>
        <v>0.08580869122</v>
      </c>
      <c r="O7" s="72"/>
      <c r="P7" s="72"/>
    </row>
    <row r="8">
      <c r="A8" s="55"/>
      <c r="B8" s="79" t="s">
        <v>468</v>
      </c>
      <c r="C8" s="66">
        <v>0.049</v>
      </c>
      <c r="D8" s="68">
        <v>0.0031622776601683794</v>
      </c>
      <c r="E8" s="79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>
      <c r="A9" s="55"/>
      <c r="B9" s="78" t="s">
        <v>469</v>
      </c>
      <c r="C9" s="65">
        <v>0.14</v>
      </c>
      <c r="D9" s="65">
        <v>0.006324555320336759</v>
      </c>
      <c r="E9" s="79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</row>
    <row r="10">
      <c r="A10" s="55"/>
      <c r="B10" s="55"/>
      <c r="C10" s="55" t="s">
        <v>470</v>
      </c>
      <c r="D10" s="55" t="s">
        <v>471</v>
      </c>
      <c r="E10" s="55" t="s">
        <v>472</v>
      </c>
      <c r="F10" s="55" t="s">
        <v>473</v>
      </c>
      <c r="G10" s="55" t="s">
        <v>474</v>
      </c>
      <c r="H10" s="55" t="s">
        <v>475</v>
      </c>
      <c r="I10" s="55"/>
      <c r="J10" s="55"/>
      <c r="K10" s="55"/>
      <c r="O10" s="55"/>
    </row>
    <row r="11">
      <c r="A11" s="55"/>
      <c r="B11" s="55" t="s">
        <v>476</v>
      </c>
      <c r="C11" s="74">
        <v>0.563975681287998</v>
      </c>
      <c r="D11" s="74">
        <v>0.335226038709314</v>
      </c>
      <c r="E11" s="74">
        <v>0.721484810179984</v>
      </c>
      <c r="F11" s="72">
        <v>5.0E10</v>
      </c>
      <c r="G11" s="68">
        <f t="shared" ref="G11:G13" si="4">C11*10^9/F11</f>
        <v>0.01127951363</v>
      </c>
      <c r="H11" s="72">
        <f>G11*average(Lymphocytes!$T$6:$T$7)</f>
        <v>112082429.7</v>
      </c>
      <c r="I11" s="55"/>
      <c r="J11" s="55"/>
      <c r="K11" s="55"/>
      <c r="L11" s="55"/>
      <c r="O11" s="55"/>
    </row>
    <row r="12">
      <c r="A12" s="55"/>
      <c r="B12" s="55" t="s">
        <v>477</v>
      </c>
      <c r="C12" s="74">
        <v>0.199884062681152</v>
      </c>
      <c r="D12" s="74">
        <v>0.136129474797695</v>
      </c>
      <c r="E12" s="74">
        <v>0.357374441602435</v>
      </c>
      <c r="F12" s="72">
        <f t="shared" ref="F12:F13" si="5">F11</f>
        <v>50000000000</v>
      </c>
      <c r="G12" s="68">
        <f t="shared" si="4"/>
        <v>0.003997681254</v>
      </c>
      <c r="H12" s="72">
        <f>G12*average(Lymphocytes!$T$6:$T$7)</f>
        <v>39724215.32</v>
      </c>
      <c r="I12" s="55"/>
      <c r="J12" s="55"/>
      <c r="K12" s="55"/>
      <c r="L12" s="55"/>
      <c r="O12" s="55"/>
    </row>
    <row r="13">
      <c r="A13" s="55"/>
      <c r="B13" s="55" t="s">
        <v>478</v>
      </c>
      <c r="C13" s="74">
        <f>sum(C11:C12)</f>
        <v>0.763859744</v>
      </c>
      <c r="D13" s="55"/>
      <c r="E13" s="74">
        <f t="array" ref="E13">sqrt(sumsq(E11:E12-C11:C12)) +C13</f>
        <v>0.9865980324</v>
      </c>
      <c r="F13" s="72">
        <f t="shared" si="5"/>
        <v>50000000000</v>
      </c>
      <c r="G13" s="68">
        <f t="shared" si="4"/>
        <v>0.01527719488</v>
      </c>
      <c r="H13" s="72">
        <f>G13*average(Lymphocytes!$T$6:$T$7)</f>
        <v>151806645</v>
      </c>
      <c r="I13" s="55"/>
      <c r="J13" s="55"/>
      <c r="K13" s="55"/>
      <c r="L13" s="55"/>
      <c r="M13" s="55"/>
      <c r="N13" s="55"/>
      <c r="O13" s="55"/>
    </row>
    <row r="14">
      <c r="A14" s="55"/>
      <c r="B14" s="55"/>
      <c r="C14" s="55" t="s">
        <v>466</v>
      </c>
      <c r="D14" s="55" t="s">
        <v>4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>
      <c r="A15" s="55" t="s">
        <v>479</v>
      </c>
      <c r="B15" s="55" t="s">
        <v>480</v>
      </c>
      <c r="C15" s="66">
        <v>0.004</v>
      </c>
      <c r="D15" s="66">
        <v>6.0E-4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6">
      <c r="A16" s="55"/>
      <c r="B16" s="55" t="s">
        <v>481</v>
      </c>
      <c r="C16" s="75">
        <f>C15*average(Lymphocytes!$O$6:$O$7)</f>
        <v>4025000000</v>
      </c>
      <c r="D16" s="75">
        <f>sqrt(sumsq(D15*average(Lymphocytes!$O$6:$O$7),stdev(Lymphocytes!$O$6:$O$7)*C15))</f>
        <v>1557229611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>
      <c r="A18" s="55" t="s">
        <v>482</v>
      </c>
      <c r="B18" s="55"/>
      <c r="C18" s="55" t="s">
        <v>466</v>
      </c>
      <c r="D18" s="55" t="s">
        <v>4</v>
      </c>
      <c r="E18" s="55" t="s">
        <v>483</v>
      </c>
      <c r="H18" s="55"/>
      <c r="I18" s="55"/>
      <c r="J18" s="55"/>
      <c r="K18" s="55"/>
      <c r="L18" s="55"/>
      <c r="M18" s="55"/>
      <c r="N18" s="55"/>
      <c r="O18" s="55"/>
    </row>
    <row r="19">
      <c r="A19" s="55"/>
      <c r="B19" s="55" t="s">
        <v>484</v>
      </c>
      <c r="C19" s="72">
        <f>0.4%*average(Lymphocytes!$O$6:$O$7)</f>
        <v>4025000000</v>
      </c>
      <c r="D19" s="80">
        <f>sqrt(sumsq(STDEV(Lymphocytes!$O$6:$O$7)*0.4%,0.03%*average(Lymphocytes!$O$6:$O$7)))</f>
        <v>1466826000</v>
      </c>
      <c r="E19" s="55" t="s">
        <v>485</v>
      </c>
      <c r="H19" s="55"/>
      <c r="I19" s="55"/>
      <c r="J19" s="55"/>
      <c r="K19" s="55"/>
      <c r="L19" s="55"/>
      <c r="M19" s="55"/>
      <c r="N19" s="55"/>
      <c r="O19" s="55"/>
    </row>
    <row r="20">
      <c r="A20" s="55"/>
      <c r="B20" s="55" t="s">
        <v>486</v>
      </c>
      <c r="C20" s="72">
        <f>H13</f>
        <v>151806645</v>
      </c>
      <c r="D20" s="72">
        <f>sqrt(sumsq((E13-C13)/C13,STDEV(Lymphocytes!$T$6:$T$7)/average(Lymphocytes!$T$6:$T$7)))*C20</f>
        <v>188130905</v>
      </c>
      <c r="E20" s="55" t="s">
        <v>370</v>
      </c>
      <c r="H20" s="55"/>
      <c r="I20" s="55"/>
      <c r="J20" s="55"/>
      <c r="K20" s="55"/>
      <c r="L20" s="55"/>
      <c r="M20" s="55"/>
      <c r="N20" s="55"/>
      <c r="O20" s="55"/>
    </row>
    <row r="21">
      <c r="A21" s="55"/>
      <c r="B21" s="55" t="s">
        <v>487</v>
      </c>
      <c r="C21" s="75">
        <v>2.0E9</v>
      </c>
      <c r="D21" s="72">
        <v>9.5E8</v>
      </c>
      <c r="E21" s="55" t="s">
        <v>370</v>
      </c>
      <c r="H21" s="55"/>
      <c r="I21" s="55"/>
      <c r="J21" s="55"/>
      <c r="K21" s="55"/>
      <c r="L21" s="55"/>
      <c r="M21" s="55"/>
      <c r="N21" s="55"/>
      <c r="O21" s="55"/>
    </row>
    <row r="22">
      <c r="A22" s="55"/>
      <c r="B22" s="55" t="s">
        <v>479</v>
      </c>
      <c r="C22" s="75">
        <f t="shared" ref="C22:D22" si="6">C16</f>
        <v>4025000000</v>
      </c>
      <c r="D22" s="75">
        <f t="shared" si="6"/>
        <v>1557229611</v>
      </c>
      <c r="E22" s="55" t="s">
        <v>370</v>
      </c>
      <c r="H22" s="55"/>
      <c r="I22" s="55"/>
      <c r="J22" s="55"/>
      <c r="K22" s="55"/>
      <c r="L22" s="55"/>
      <c r="M22" s="55"/>
      <c r="N22" s="55"/>
      <c r="O22" s="55"/>
    </row>
    <row r="23">
      <c r="A23" s="55"/>
      <c r="B23" s="55" t="s">
        <v>488</v>
      </c>
      <c r="C23" s="72">
        <f>0.25%*average(Lymphocytes!$O$6:$O$7)</f>
        <v>2515625000</v>
      </c>
      <c r="D23" s="72">
        <f>0.02%*average(Lymphocytes!$O$6:$O$7)</f>
        <v>201250000</v>
      </c>
      <c r="E23" s="55" t="s">
        <v>370</v>
      </c>
      <c r="H23" s="55"/>
      <c r="I23" s="55"/>
      <c r="J23" s="55"/>
      <c r="K23" s="55"/>
      <c r="L23" s="55"/>
      <c r="M23" s="55"/>
      <c r="N23" s="55"/>
      <c r="O23" s="55"/>
    </row>
    <row r="24">
      <c r="A24" s="55"/>
      <c r="B24" s="69" t="s">
        <v>466</v>
      </c>
      <c r="C24" s="81">
        <f>average(C19:C23)</f>
        <v>2543486329</v>
      </c>
      <c r="D24" s="81">
        <f>sqrt(sumsq(stdev(C19:C23)/sqrt(3),average(D19:D23)))</f>
        <v>1276226483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7">
      <c r="A27" s="77" t="s">
        <v>21</v>
      </c>
      <c r="B27" s="55" t="s">
        <v>489</v>
      </c>
      <c r="C27" s="79" t="s">
        <v>21</v>
      </c>
      <c r="D27" s="79" t="s">
        <v>490</v>
      </c>
      <c r="E27" s="55" t="s">
        <v>491</v>
      </c>
      <c r="F27" s="55" t="s">
        <v>492</v>
      </c>
      <c r="G27" s="55" t="s">
        <v>493</v>
      </c>
      <c r="H27" s="55" t="s">
        <v>4</v>
      </c>
      <c r="I27" s="55" t="s">
        <v>494</v>
      </c>
      <c r="J27" s="55" t="s">
        <v>478</v>
      </c>
      <c r="K27" s="55"/>
      <c r="L27" s="55"/>
      <c r="M27" s="55" t="s">
        <v>495</v>
      </c>
      <c r="N27" s="55" t="s">
        <v>496</v>
      </c>
      <c r="O27" s="55" t="s">
        <v>497</v>
      </c>
      <c r="P27" s="55" t="s">
        <v>498</v>
      </c>
    </row>
    <row r="28">
      <c r="B28" s="55"/>
      <c r="C28" s="55" t="s">
        <v>499</v>
      </c>
      <c r="D28" s="82">
        <f>G28/F29</f>
        <v>255223880.6</v>
      </c>
      <c r="E28" s="55"/>
      <c r="F28" s="55"/>
      <c r="G28" s="72">
        <f>1.71*10^8</f>
        <v>171000000</v>
      </c>
      <c r="H28" s="55"/>
      <c r="I28" s="61">
        <v>212.0</v>
      </c>
      <c r="J28" s="83">
        <f t="shared" ref="J28:J29" si="7">I28*G28</f>
        <v>36252000000</v>
      </c>
      <c r="K28" s="55"/>
      <c r="L28" s="84">
        <f>J28*0.2*10^-9</f>
        <v>7.2504</v>
      </c>
      <c r="M28" s="55" t="s">
        <v>500</v>
      </c>
      <c r="N28" s="65">
        <v>0.0850694444444444</v>
      </c>
      <c r="O28" s="65">
        <v>0.0340277777777776</v>
      </c>
      <c r="P28" s="65">
        <v>0.167708333333333</v>
      </c>
    </row>
    <row r="29">
      <c r="B29" s="55"/>
      <c r="C29" s="55" t="s">
        <v>501</v>
      </c>
      <c r="D29" s="82">
        <f>(78.5%*1.1 + 1.8*21.5%)*10^8</f>
        <v>125050000</v>
      </c>
      <c r="E29" s="55"/>
      <c r="F29" s="65">
        <v>0.67</v>
      </c>
      <c r="G29" s="72">
        <f>F29*D29</f>
        <v>83783500</v>
      </c>
      <c r="H29" s="55"/>
      <c r="I29" s="61">
        <v>180.0</v>
      </c>
      <c r="J29" s="83">
        <f t="shared" si="7"/>
        <v>15081030000</v>
      </c>
      <c r="K29" s="55"/>
      <c r="L29" s="84"/>
      <c r="M29" s="65"/>
      <c r="N29" s="55"/>
      <c r="O29" s="55"/>
      <c r="P29" s="74"/>
    </row>
    <row r="30">
      <c r="B30" s="55"/>
      <c r="C30" s="55" t="s">
        <v>502</v>
      </c>
      <c r="D30" s="72">
        <f>5.3*10^8</f>
        <v>530000000</v>
      </c>
      <c r="E30" s="72">
        <f>0.9*10^8</f>
        <v>90000000</v>
      </c>
      <c r="F30" s="55"/>
      <c r="G30" s="55"/>
      <c r="H30" s="55"/>
      <c r="I30" s="61">
        <v>150.0</v>
      </c>
      <c r="J30" s="83">
        <f>I30*D30</f>
        <v>79500000000</v>
      </c>
      <c r="K30" s="55"/>
      <c r="L30" s="85"/>
      <c r="M30" s="78"/>
      <c r="N30" s="55"/>
      <c r="O30" s="55"/>
      <c r="P30" s="74"/>
    </row>
    <row r="31">
      <c r="B31" s="55"/>
      <c r="C31" s="55" t="s">
        <v>503</v>
      </c>
      <c r="D31" s="86">
        <f>6.5*10^10/I31</f>
        <v>560344827.6</v>
      </c>
      <c r="E31" s="72">
        <f>0.2*D31</f>
        <v>112068965.5</v>
      </c>
      <c r="F31" s="55"/>
      <c r="G31" s="55"/>
      <c r="H31" s="55"/>
      <c r="I31" s="61">
        <v>116.0</v>
      </c>
      <c r="J31" s="55"/>
      <c r="K31" s="55"/>
      <c r="L31" s="85"/>
      <c r="M31" s="78"/>
      <c r="N31" s="55"/>
      <c r="O31" s="55"/>
      <c r="P31" s="74"/>
    </row>
    <row r="32">
      <c r="B32" s="55"/>
      <c r="C32" s="55" t="s">
        <v>504</v>
      </c>
      <c r="D32" s="86">
        <f>0.69*10^9</f>
        <v>690000000</v>
      </c>
      <c r="E32" s="55"/>
      <c r="F32" s="55"/>
      <c r="G32" s="55"/>
      <c r="H32" s="55"/>
      <c r="I32" s="55"/>
      <c r="J32" s="55"/>
      <c r="K32" s="55"/>
      <c r="L32" s="85"/>
      <c r="M32" s="78"/>
      <c r="N32" s="55"/>
      <c r="O32" s="55"/>
      <c r="P32" s="74"/>
    </row>
    <row r="33">
      <c r="B33" s="55"/>
      <c r="C33" s="55" t="s">
        <v>505</v>
      </c>
      <c r="D33" s="86">
        <f>3.05/27.9*10^12/150</f>
        <v>728793309.4</v>
      </c>
      <c r="E33" s="55"/>
      <c r="F33" s="55"/>
      <c r="G33" s="55"/>
      <c r="H33" s="55"/>
      <c r="I33" s="55"/>
      <c r="J33" s="58"/>
      <c r="K33" s="55"/>
      <c r="L33" s="85"/>
      <c r="M33" s="78"/>
      <c r="N33" s="55"/>
      <c r="O33" s="55"/>
      <c r="P33" s="74"/>
    </row>
    <row r="34">
      <c r="B34" s="55"/>
      <c r="C34" s="55" t="s">
        <v>506</v>
      </c>
      <c r="D34" s="55"/>
      <c r="E34" s="56"/>
      <c r="F34" s="65">
        <v>0.82</v>
      </c>
      <c r="G34" s="55"/>
      <c r="H34" s="56"/>
      <c r="I34" s="55"/>
      <c r="J34" s="55"/>
      <c r="K34" s="55"/>
      <c r="L34" s="85"/>
      <c r="M34" s="78"/>
      <c r="N34" s="55"/>
      <c r="O34" s="55"/>
      <c r="P34" s="87"/>
    </row>
    <row r="35">
      <c r="B35" s="55"/>
      <c r="C35" s="55"/>
      <c r="D35" s="72">
        <f>average(D30:D33)</f>
        <v>627284534.3</v>
      </c>
      <c r="E35" s="72">
        <f>sqrt(sumsq(STDEV(D30:D33)/sqrt(3), average(E30:E31)))</f>
        <v>115496111.7</v>
      </c>
      <c r="F35" s="65">
        <f>AVERAGE(F28:F34)</f>
        <v>0.745</v>
      </c>
      <c r="G35" s="72">
        <f>F35*D35</f>
        <v>467326978</v>
      </c>
      <c r="H35" s="72">
        <f>sqrt(sumsq(0.1*D35,E35*F35))</f>
        <v>106482546</v>
      </c>
      <c r="I35" s="61">
        <v>180.0</v>
      </c>
      <c r="J35" s="81">
        <f>I35*G35</f>
        <v>84118856044</v>
      </c>
      <c r="K35" s="55"/>
      <c r="L35" s="84"/>
      <c r="M35" s="65"/>
      <c r="N35" s="55"/>
      <c r="O35" s="55"/>
      <c r="P35" s="74"/>
    </row>
    <row r="36">
      <c r="B36" s="69" t="s">
        <v>507</v>
      </c>
      <c r="C36" s="69" t="s">
        <v>204</v>
      </c>
      <c r="D36" s="88">
        <f>1.4*10^9</f>
        <v>1400000000</v>
      </c>
      <c r="E36" s="55"/>
      <c r="F36" s="55"/>
      <c r="G36" s="55"/>
      <c r="H36" s="55"/>
      <c r="I36" s="89">
        <f>round(stdev(I28:I30)/sqrt(2),-1)</f>
        <v>20</v>
      </c>
      <c r="J36" s="90">
        <f>sqrt(sumsq(I36/I35,H35/G35))*J35</f>
        <v>21324311440</v>
      </c>
      <c r="K36" s="55"/>
      <c r="L36" s="55"/>
      <c r="M36" s="55"/>
      <c r="N36" s="55"/>
      <c r="O36" s="55"/>
      <c r="P36" s="74"/>
    </row>
    <row r="37">
      <c r="B37" s="55"/>
      <c r="C37" s="55"/>
      <c r="D37" s="55"/>
      <c r="E37" s="55"/>
      <c r="F37" s="55"/>
      <c r="G37" s="55"/>
      <c r="H37" s="55"/>
      <c r="I37" s="55"/>
      <c r="J37" s="58"/>
      <c r="K37" s="55"/>
      <c r="L37" s="55"/>
      <c r="M37" s="55"/>
      <c r="N37" s="55"/>
      <c r="O37" s="55"/>
      <c r="P37" s="74"/>
    </row>
    <row r="38">
      <c r="B38" s="55"/>
      <c r="C38" s="55"/>
      <c r="D38" s="55"/>
      <c r="E38" s="74"/>
      <c r="F38" s="74"/>
      <c r="G38" s="67"/>
      <c r="H38" s="79"/>
      <c r="I38" s="67"/>
      <c r="J38" s="58"/>
      <c r="K38" s="55"/>
      <c r="L38" s="55"/>
      <c r="M38" s="55"/>
      <c r="N38" s="55"/>
      <c r="O38" s="55"/>
      <c r="P38" s="74"/>
    </row>
    <row r="39">
      <c r="B39" s="55"/>
      <c r="C39" s="55"/>
      <c r="D39" s="55"/>
      <c r="E39" s="61"/>
      <c r="F39" s="61"/>
      <c r="G39" s="64"/>
      <c r="H39" s="55"/>
      <c r="I39" s="55"/>
      <c r="J39" s="58"/>
      <c r="K39" s="55"/>
      <c r="L39" s="55"/>
      <c r="M39" s="55"/>
      <c r="N39" s="55"/>
      <c r="O39" s="55"/>
      <c r="P39" s="74"/>
    </row>
    <row r="40">
      <c r="B40" s="55"/>
      <c r="C40" s="55"/>
      <c r="D40" s="55"/>
      <c r="E40" s="75"/>
      <c r="F40" s="75"/>
      <c r="G40" s="55"/>
      <c r="H40" s="55"/>
      <c r="I40" s="75"/>
      <c r="J40" s="55"/>
      <c r="K40" s="55"/>
      <c r="L40" s="55"/>
      <c r="M40" s="55"/>
      <c r="N40" s="55"/>
      <c r="O40" s="55"/>
      <c r="P40" s="74"/>
    </row>
    <row r="41">
      <c r="B41" s="55"/>
      <c r="C41" s="55"/>
      <c r="D41" s="55"/>
      <c r="E41" s="55"/>
      <c r="F41" s="55"/>
      <c r="G41" s="67"/>
      <c r="H41" s="55"/>
      <c r="I41" s="55"/>
      <c r="J41" s="55"/>
      <c r="K41" s="55"/>
      <c r="L41" s="55"/>
      <c r="M41" s="55"/>
      <c r="N41" s="55"/>
      <c r="O41" s="55"/>
      <c r="P41" s="91"/>
    </row>
    <row r="42">
      <c r="B42" s="55"/>
      <c r="C42" s="55"/>
      <c r="D42" s="55"/>
      <c r="E42" s="58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91"/>
    </row>
    <row r="43">
      <c r="B43" s="55"/>
      <c r="C43" s="55"/>
      <c r="D43" s="55"/>
      <c r="E43" s="92"/>
      <c r="F43" s="93"/>
      <c r="G43" s="94"/>
      <c r="H43" s="93"/>
      <c r="I43" s="94"/>
      <c r="J43" s="55"/>
      <c r="K43" s="55"/>
      <c r="L43" s="55"/>
      <c r="M43" s="55"/>
      <c r="N43" s="55"/>
      <c r="O43" s="55"/>
      <c r="P43" s="55"/>
    </row>
    <row r="44">
      <c r="B44" s="55" t="s">
        <v>508</v>
      </c>
      <c r="C44" s="55"/>
      <c r="D44" s="55"/>
      <c r="E44" s="95"/>
      <c r="F44" s="55"/>
      <c r="G44" s="56"/>
      <c r="H44" s="55"/>
      <c r="I44" s="96"/>
      <c r="J44" s="55"/>
      <c r="K44" s="55"/>
      <c r="L44" s="55"/>
      <c r="M44" s="55"/>
      <c r="N44" s="55"/>
      <c r="O44" s="55"/>
      <c r="P44" s="55"/>
    </row>
    <row r="45">
      <c r="B45" s="55" t="s">
        <v>509</v>
      </c>
      <c r="C45" s="61">
        <v>2.88</v>
      </c>
      <c r="D45" s="55"/>
      <c r="E45" s="55" t="s">
        <v>510</v>
      </c>
      <c r="F45" s="61">
        <v>5.0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</row>
    <row r="46">
      <c r="B46" s="55"/>
      <c r="C46" s="55" t="s">
        <v>511</v>
      </c>
      <c r="D46" s="55" t="s">
        <v>512</v>
      </c>
      <c r="E46" s="55" t="s">
        <v>513</v>
      </c>
      <c r="F46" s="55" t="s">
        <v>461</v>
      </c>
      <c r="G46" s="55" t="s">
        <v>514</v>
      </c>
      <c r="H46" s="55" t="s">
        <v>515</v>
      </c>
      <c r="I46" s="55" t="s">
        <v>516</v>
      </c>
      <c r="J46" s="55"/>
      <c r="K46" s="55"/>
      <c r="L46" s="84">
        <f>E47*C45^2/F45</f>
        <v>79.62624</v>
      </c>
      <c r="M46" s="61">
        <f>L46*10^7</f>
        <v>796262400</v>
      </c>
      <c r="N46" s="55"/>
      <c r="O46" s="55"/>
      <c r="P46" s="55"/>
    </row>
    <row r="47">
      <c r="B47" s="55"/>
      <c r="C47" s="55" t="s">
        <v>331</v>
      </c>
      <c r="D47" s="55" t="s">
        <v>517</v>
      </c>
      <c r="E47" s="61">
        <v>48.0</v>
      </c>
      <c r="F47" s="61">
        <v>15.0</v>
      </c>
      <c r="G47" s="75">
        <f t="shared" ref="G47:G49" si="8">E47*$C$45^2/10^5</f>
        <v>0.003981312</v>
      </c>
      <c r="H47" s="75">
        <f t="shared" ref="H47:H49" si="9">G47/$F$45</f>
        <v>0.0007962624</v>
      </c>
      <c r="I47" s="75">
        <f t="shared" ref="I47:I49" si="10">H47*10^12</f>
        <v>796262400</v>
      </c>
      <c r="J47" s="55"/>
      <c r="K47" s="55"/>
      <c r="L47" s="55"/>
      <c r="M47" s="55"/>
      <c r="N47" s="55"/>
      <c r="O47" s="55"/>
      <c r="P47" s="55"/>
    </row>
    <row r="48">
      <c r="B48" s="55"/>
      <c r="C48" s="55" t="s">
        <v>333</v>
      </c>
      <c r="D48" s="55" t="s">
        <v>518</v>
      </c>
      <c r="E48" s="61">
        <v>6.8</v>
      </c>
      <c r="F48" s="61">
        <v>0.8</v>
      </c>
      <c r="G48" s="75">
        <f t="shared" si="8"/>
        <v>0.0005640192</v>
      </c>
      <c r="H48" s="75">
        <f t="shared" si="9"/>
        <v>0.00011280384</v>
      </c>
      <c r="I48" s="75">
        <f t="shared" si="10"/>
        <v>112803840</v>
      </c>
      <c r="J48" s="55"/>
      <c r="K48" s="55"/>
      <c r="L48" s="55"/>
      <c r="M48" s="64" t="s">
        <v>519</v>
      </c>
      <c r="N48" s="55"/>
      <c r="O48" s="55" t="s">
        <v>520</v>
      </c>
      <c r="P48" s="55"/>
    </row>
    <row r="49">
      <c r="B49" s="55"/>
      <c r="C49" s="55" t="s">
        <v>521</v>
      </c>
      <c r="D49" s="55" t="s">
        <v>227</v>
      </c>
      <c r="E49" s="61">
        <v>7.5</v>
      </c>
      <c r="F49" s="97">
        <v>0.9</v>
      </c>
      <c r="G49" s="75">
        <f t="shared" si="8"/>
        <v>0.00062208</v>
      </c>
      <c r="H49" s="75">
        <f t="shared" si="9"/>
        <v>0.000124416</v>
      </c>
      <c r="I49" s="75">
        <f t="shared" si="10"/>
        <v>124416000</v>
      </c>
      <c r="J49" s="55"/>
      <c r="K49" s="55"/>
      <c r="L49" s="55"/>
      <c r="M49" s="55"/>
      <c r="N49" s="55"/>
      <c r="O49" s="55"/>
      <c r="P49" s="55"/>
    </row>
    <row r="50">
      <c r="B50" s="55"/>
      <c r="C50" s="55"/>
      <c r="D50" s="55"/>
      <c r="E50" s="55"/>
      <c r="F50" s="98"/>
      <c r="G50" s="55"/>
      <c r="H50" s="55"/>
      <c r="I50" s="55"/>
      <c r="J50" s="55"/>
      <c r="K50" s="55"/>
      <c r="L50" s="55"/>
      <c r="M50" s="64" t="s">
        <v>522</v>
      </c>
      <c r="N50" s="55"/>
      <c r="O50" s="55"/>
      <c r="P50" s="55" t="s">
        <v>523</v>
      </c>
    </row>
    <row r="51">
      <c r="B51" s="55"/>
      <c r="C51" s="55"/>
      <c r="D51" s="55"/>
      <c r="E51" s="55"/>
      <c r="F51" s="97">
        <f>AVERAGE(D52:F52)</f>
        <v>0.7173553719</v>
      </c>
      <c r="G51" s="55"/>
      <c r="H51" s="55"/>
      <c r="I51" s="55"/>
      <c r="J51" s="55"/>
      <c r="K51" s="55"/>
      <c r="L51" s="55"/>
      <c r="M51" s="55"/>
      <c r="N51" s="55"/>
      <c r="O51" s="55" t="s">
        <v>524</v>
      </c>
      <c r="P51" s="65">
        <v>0.569584471874116</v>
      </c>
    </row>
    <row r="52">
      <c r="B52" s="55"/>
      <c r="C52" s="55"/>
      <c r="D52" s="61">
        <f>1</f>
        <v>1</v>
      </c>
      <c r="E52" s="97">
        <f t="shared" ref="E52:G52" si="11">E58/$D$58</f>
        <v>0.6179981635</v>
      </c>
      <c r="F52" s="97">
        <f t="shared" si="11"/>
        <v>0.5340679522</v>
      </c>
      <c r="G52" s="97">
        <f t="shared" si="11"/>
        <v>0.06106519743</v>
      </c>
      <c r="H52" s="55"/>
      <c r="I52" s="55"/>
      <c r="J52" s="55"/>
      <c r="K52" s="55"/>
      <c r="L52" s="55"/>
      <c r="M52" s="55"/>
      <c r="N52" s="55"/>
      <c r="O52" s="55" t="s">
        <v>525</v>
      </c>
      <c r="P52" s="65">
        <v>0.586544803542825</v>
      </c>
    </row>
    <row r="53"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61">
        <f>20%*180</f>
        <v>36</v>
      </c>
      <c r="M53" s="55"/>
      <c r="N53" s="55"/>
      <c r="O53" s="55" t="s">
        <v>526</v>
      </c>
      <c r="P53" s="65">
        <v>0.719702251955149</v>
      </c>
    </row>
    <row r="54">
      <c r="B54" s="55"/>
      <c r="C54" s="55"/>
      <c r="D54" s="65">
        <v>0.06</v>
      </c>
      <c r="E54" s="65">
        <v>0.06</v>
      </c>
      <c r="F54" s="65">
        <v>0.06</v>
      </c>
      <c r="G54" s="65">
        <f>1-sum(D54:F54)</f>
        <v>0.82</v>
      </c>
      <c r="H54" s="55"/>
      <c r="I54" s="55"/>
      <c r="J54" s="55" t="s">
        <v>527</v>
      </c>
      <c r="K54" s="55"/>
      <c r="L54" s="55"/>
      <c r="M54" s="67"/>
      <c r="N54" s="55"/>
      <c r="O54" s="55" t="s">
        <v>528</v>
      </c>
      <c r="P54" s="65">
        <v>0.802581739376236</v>
      </c>
    </row>
    <row r="55">
      <c r="B55" s="55" t="s">
        <v>529</v>
      </c>
      <c r="C55" s="55" t="s">
        <v>527</v>
      </c>
      <c r="D55" s="55" t="s">
        <v>530</v>
      </c>
      <c r="E55" s="55" t="s">
        <v>531</v>
      </c>
      <c r="F55" s="55" t="s">
        <v>517</v>
      </c>
      <c r="G55" s="55" t="s">
        <v>532</v>
      </c>
      <c r="H55" s="55"/>
      <c r="I55" s="55" t="s">
        <v>331</v>
      </c>
      <c r="J55" s="61">
        <f t="shared" ref="J55:J56" si="12">SUMPRODUCT(D56:G56,$D$54:$G$54)</f>
        <v>41.009</v>
      </c>
      <c r="K55" s="55"/>
      <c r="L55" s="55"/>
      <c r="M55" s="55"/>
      <c r="N55" s="55"/>
      <c r="O55" s="55" t="s">
        <v>533</v>
      </c>
      <c r="P55" s="65">
        <v>0.855724111938189</v>
      </c>
    </row>
    <row r="56">
      <c r="B56" s="55"/>
      <c r="C56" s="55" t="s">
        <v>331</v>
      </c>
      <c r="D56" s="61">
        <v>126.5</v>
      </c>
      <c r="E56" s="61">
        <v>140.5</v>
      </c>
      <c r="F56" s="61">
        <v>137.0</v>
      </c>
      <c r="G56" s="61">
        <v>20.45</v>
      </c>
      <c r="H56" s="55"/>
      <c r="I56" s="55" t="s">
        <v>333</v>
      </c>
      <c r="J56" s="61">
        <f t="shared" si="12"/>
        <v>56.564</v>
      </c>
      <c r="K56" s="55"/>
      <c r="L56" s="55"/>
      <c r="M56" s="55"/>
      <c r="N56" s="55"/>
      <c r="O56" s="55" t="s">
        <v>534</v>
      </c>
      <c r="P56" s="65">
        <v>0.912635447093187</v>
      </c>
    </row>
    <row r="57">
      <c r="B57" s="55"/>
      <c r="C57" s="55" t="s">
        <v>333</v>
      </c>
      <c r="D57" s="61">
        <v>418.0</v>
      </c>
      <c r="E57" s="61">
        <v>196.0</v>
      </c>
      <c r="F57" s="61">
        <v>153.8</v>
      </c>
      <c r="G57" s="61">
        <v>12.8</v>
      </c>
      <c r="H57" s="55"/>
      <c r="I57" s="55" t="s">
        <v>535</v>
      </c>
      <c r="J57" s="61">
        <f>sum(J55:J56)</f>
        <v>97.573</v>
      </c>
      <c r="K57" s="55"/>
      <c r="L57" s="55"/>
      <c r="M57" s="55"/>
      <c r="N57" s="55"/>
      <c r="O57" s="55" t="s">
        <v>536</v>
      </c>
      <c r="P57" s="65">
        <v>0.756298878733628</v>
      </c>
    </row>
    <row r="58">
      <c r="B58" s="55"/>
      <c r="C58" s="55" t="s">
        <v>537</v>
      </c>
      <c r="D58" s="61">
        <f t="shared" ref="D58:G58" si="13">sum(D56:D57)</f>
        <v>544.5</v>
      </c>
      <c r="E58" s="61">
        <f t="shared" si="13"/>
        <v>336.5</v>
      </c>
      <c r="F58" s="61">
        <f t="shared" si="13"/>
        <v>290.8</v>
      </c>
      <c r="G58" s="61">
        <f t="shared" si="13"/>
        <v>33.25</v>
      </c>
      <c r="H58" s="55"/>
      <c r="I58" s="55"/>
      <c r="J58" s="55"/>
      <c r="K58" s="55"/>
      <c r="L58" s="55"/>
      <c r="M58" s="55"/>
      <c r="N58" s="55"/>
      <c r="O58" s="55" t="s">
        <v>461</v>
      </c>
      <c r="P58" s="65">
        <f>stdev(P51:P56)</f>
        <v>0.14149618</v>
      </c>
    </row>
    <row r="59">
      <c r="B59" s="55"/>
      <c r="C59" s="55"/>
      <c r="D59" s="55"/>
      <c r="E59" s="55"/>
      <c r="F59" s="55"/>
      <c r="G59" s="55"/>
      <c r="H59" s="55"/>
      <c r="I59" s="55" t="s">
        <v>538</v>
      </c>
      <c r="J59" s="72">
        <f>D36*F35</f>
        <v>1043000000</v>
      </c>
      <c r="K59" s="72">
        <f>G35</f>
        <v>467326978</v>
      </c>
      <c r="L59" s="55"/>
      <c r="M59" s="55"/>
      <c r="N59" s="55"/>
      <c r="O59" s="55" t="s">
        <v>4</v>
      </c>
      <c r="P59" s="65">
        <f>P58/sqrt(5)</f>
        <v>0.06327901539</v>
      </c>
    </row>
    <row r="60"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</row>
    <row r="61">
      <c r="B61" s="55"/>
      <c r="C61" s="55" t="s">
        <v>331</v>
      </c>
      <c r="D61" s="75">
        <f t="shared" ref="D61:G61" si="14">D56*$J$59/$J$57</f>
        <v>1352213215</v>
      </c>
      <c r="E61" s="75">
        <f t="shared" si="14"/>
        <v>1501865270</v>
      </c>
      <c r="F61" s="75">
        <f t="shared" si="14"/>
        <v>1464452256</v>
      </c>
      <c r="G61" s="75">
        <f t="shared" si="14"/>
        <v>218598895.2</v>
      </c>
      <c r="H61" s="55"/>
      <c r="I61" s="72">
        <f t="shared" ref="I61:I62" si="16">SUMproduct(D61:G61,$D$54:$G$54)</f>
        <v>438362938.5</v>
      </c>
      <c r="J61" s="65">
        <f t="shared" ref="J61:J62" si="17">I61/$J$59</f>
        <v>0.4202904492</v>
      </c>
      <c r="K61" s="55"/>
      <c r="L61" s="55"/>
      <c r="M61" s="55"/>
      <c r="N61" s="55"/>
      <c r="O61" s="55"/>
      <c r="P61" s="55"/>
    </row>
    <row r="62">
      <c r="B62" s="55"/>
      <c r="C62" s="55" t="s">
        <v>333</v>
      </c>
      <c r="D62" s="75">
        <f t="shared" ref="D62:G62" si="15">D57*$J$59/$J$57</f>
        <v>4468182796</v>
      </c>
      <c r="E62" s="75">
        <f t="shared" si="15"/>
        <v>2095128775</v>
      </c>
      <c r="F62" s="75">
        <f t="shared" si="15"/>
        <v>1644034723</v>
      </c>
      <c r="G62" s="75">
        <f t="shared" si="15"/>
        <v>136824736.4</v>
      </c>
      <c r="H62" s="55"/>
      <c r="I62" s="72">
        <f t="shared" si="16"/>
        <v>604637061.5</v>
      </c>
      <c r="J62" s="65">
        <f t="shared" si="17"/>
        <v>0.5797095508</v>
      </c>
      <c r="K62" s="55"/>
      <c r="L62" s="55"/>
      <c r="M62" s="55"/>
      <c r="N62" s="55"/>
      <c r="O62" s="55"/>
      <c r="P62" s="55"/>
    </row>
    <row r="63">
      <c r="B63" s="55"/>
      <c r="C63" s="55"/>
      <c r="D63" s="75">
        <f>sum(D61:D62)</f>
        <v>5820396011</v>
      </c>
      <c r="E63" s="75">
        <f t="shared" ref="E63:G63" si="18">E58*$J$59/$J$57</f>
        <v>3596994045</v>
      </c>
      <c r="F63" s="75">
        <f t="shared" si="18"/>
        <v>3108486979</v>
      </c>
      <c r="G63" s="75">
        <f t="shared" si="18"/>
        <v>355423631.5</v>
      </c>
      <c r="H63" s="55"/>
      <c r="I63" s="55"/>
      <c r="J63" s="55"/>
      <c r="K63" s="55"/>
      <c r="L63" s="55"/>
      <c r="M63" s="55"/>
      <c r="N63" s="55"/>
      <c r="O63" s="55"/>
      <c r="P63" s="55"/>
    </row>
    <row r="64">
      <c r="B64" s="55"/>
      <c r="C64" s="55"/>
      <c r="D64" s="55"/>
      <c r="E64" s="55"/>
      <c r="F64" s="75">
        <f>SUMPRODUCT(D63:F63,D54:F54)/sum(D54:F54)</f>
        <v>4175292345</v>
      </c>
      <c r="G64" s="55"/>
      <c r="H64" s="55"/>
      <c r="I64" s="55" t="s">
        <v>539</v>
      </c>
      <c r="J64" s="72">
        <f>SUMPRODUCT(D63:F63,D54:F54)/sum(D54:F54)</f>
        <v>4175292345</v>
      </c>
      <c r="K64" s="75">
        <f>J64*K59/J59</f>
        <v>1870783082</v>
      </c>
      <c r="L64" s="55"/>
      <c r="M64" s="55"/>
      <c r="N64" s="55"/>
      <c r="O64" s="55"/>
      <c r="P64" s="55"/>
    </row>
    <row r="65">
      <c r="B65" s="55"/>
      <c r="C65" s="55"/>
      <c r="D65" s="55"/>
      <c r="E65" s="55"/>
      <c r="F65" s="55"/>
      <c r="G65" s="55"/>
      <c r="H65" s="55"/>
      <c r="I65" s="55" t="s">
        <v>540</v>
      </c>
      <c r="J65" s="61">
        <f>round(sum(D54:F54)*I29,-1)</f>
        <v>30</v>
      </c>
      <c r="K65" s="61">
        <f>J65</f>
        <v>30</v>
      </c>
      <c r="L65" s="55"/>
      <c r="M65" s="55"/>
      <c r="N65" s="55"/>
      <c r="O65" s="55"/>
      <c r="P65" s="55"/>
    </row>
    <row r="66">
      <c r="B66" s="55"/>
      <c r="C66" s="55" t="s">
        <v>541</v>
      </c>
      <c r="D66" s="55" t="s">
        <v>542</v>
      </c>
      <c r="E66" s="55" t="s">
        <v>496</v>
      </c>
      <c r="F66" s="55" t="s">
        <v>543</v>
      </c>
      <c r="G66" s="55"/>
      <c r="H66" s="55"/>
      <c r="I66" s="55" t="s">
        <v>544</v>
      </c>
      <c r="J66" s="72">
        <f t="shared" ref="J66:K66" si="19">J64*J65</f>
        <v>125258770357</v>
      </c>
      <c r="K66" s="72">
        <f t="shared" si="19"/>
        <v>56123492446</v>
      </c>
      <c r="L66" s="55"/>
      <c r="M66" s="55"/>
      <c r="N66" s="55"/>
      <c r="O66" s="55"/>
      <c r="P66" s="55"/>
    </row>
    <row r="67">
      <c r="B67" s="55"/>
      <c r="C67" s="55"/>
      <c r="D67" s="55" t="s">
        <v>501</v>
      </c>
      <c r="E67" s="65">
        <v>0.215</v>
      </c>
      <c r="F67" s="65">
        <v>0.18</v>
      </c>
      <c r="G67" s="65">
        <v>0.25</v>
      </c>
      <c r="H67" s="55"/>
      <c r="I67" s="55" t="s">
        <v>540</v>
      </c>
      <c r="J67" s="99">
        <f t="shared" ref="J67:K67" si="20">J66*0.2*10^-9</f>
        <v>25.05175407</v>
      </c>
      <c r="K67" s="99">
        <f t="shared" si="20"/>
        <v>11.22469849</v>
      </c>
      <c r="L67" s="55"/>
      <c r="M67" s="55"/>
      <c r="N67" s="55"/>
      <c r="O67" s="55"/>
      <c r="P67" s="55"/>
    </row>
    <row r="68">
      <c r="B68" s="55"/>
      <c r="C68" s="55"/>
      <c r="D68" s="55" t="s">
        <v>545</v>
      </c>
      <c r="E68" s="65">
        <v>0.15</v>
      </c>
      <c r="F68" s="65">
        <v>0.1</v>
      </c>
      <c r="G68" s="65">
        <v>0.2</v>
      </c>
      <c r="H68" s="55"/>
      <c r="I68" s="55"/>
      <c r="J68" s="55"/>
      <c r="K68" s="55"/>
      <c r="L68" s="55"/>
      <c r="M68" s="55"/>
      <c r="N68" s="55"/>
      <c r="O68" s="55"/>
      <c r="P68" s="55"/>
    </row>
    <row r="69"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</row>
    <row r="70">
      <c r="B70" s="55"/>
      <c r="C70" s="55"/>
      <c r="D70" s="55" t="s">
        <v>541</v>
      </c>
      <c r="E70" s="55" t="s">
        <v>546</v>
      </c>
      <c r="F70" s="55" t="s">
        <v>547</v>
      </c>
      <c r="G70" s="55" t="s">
        <v>548</v>
      </c>
      <c r="H70" s="55" t="s">
        <v>549</v>
      </c>
      <c r="I70" s="55"/>
      <c r="J70" s="55"/>
      <c r="K70" s="55"/>
      <c r="L70" s="55"/>
      <c r="M70" s="55"/>
      <c r="N70" s="55"/>
      <c r="O70" s="55"/>
      <c r="P70" s="55"/>
    </row>
    <row r="71">
      <c r="B71" s="55"/>
      <c r="C71" s="55" t="s">
        <v>550</v>
      </c>
      <c r="D71" s="65">
        <v>0.25</v>
      </c>
      <c r="E71" s="75">
        <f>2*10^9</f>
        <v>2000000000</v>
      </c>
      <c r="F71" s="75">
        <f>1*10^8</f>
        <v>100000000</v>
      </c>
      <c r="G71" s="75">
        <f t="shared" ref="G71:G72" si="21">D71*E71+(1-D71)*F71</f>
        <v>575000000</v>
      </c>
      <c r="H71" s="61">
        <v>180.0</v>
      </c>
      <c r="I71" s="75">
        <f t="shared" ref="I71:I72" si="22">H71*G71</f>
        <v>103500000000</v>
      </c>
      <c r="J71" s="55"/>
      <c r="K71" s="64" t="s">
        <v>551</v>
      </c>
      <c r="L71" s="55"/>
      <c r="M71" s="55"/>
      <c r="N71" s="55"/>
      <c r="O71" s="55"/>
      <c r="P71" s="55"/>
    </row>
    <row r="72">
      <c r="B72" s="55"/>
      <c r="C72" s="55" t="s">
        <v>552</v>
      </c>
      <c r="D72" s="65">
        <v>0.15</v>
      </c>
      <c r="E72" s="75">
        <f>0.5*10^9</f>
        <v>500000000</v>
      </c>
      <c r="F72" s="75">
        <f>0.3*10^8</f>
        <v>30000000</v>
      </c>
      <c r="G72" s="72">
        <f t="shared" si="21"/>
        <v>100500000</v>
      </c>
      <c r="H72" s="61">
        <v>120.0</v>
      </c>
      <c r="I72" s="75">
        <f t="shared" si="22"/>
        <v>12060000000</v>
      </c>
      <c r="J72" s="55"/>
      <c r="K72" s="64" t="s">
        <v>553</v>
      </c>
      <c r="L72" s="55"/>
      <c r="M72" s="55"/>
      <c r="N72" s="55"/>
      <c r="O72" s="55"/>
      <c r="P72" s="55"/>
    </row>
    <row r="73">
      <c r="B73" s="55"/>
      <c r="C73" s="55"/>
      <c r="D73" s="55"/>
      <c r="E73" s="55"/>
      <c r="F73" s="55"/>
      <c r="G73" s="55"/>
      <c r="H73" s="55"/>
      <c r="I73" s="58"/>
      <c r="J73" s="95"/>
      <c r="K73" s="95"/>
      <c r="L73" s="58"/>
      <c r="M73" s="55"/>
      <c r="N73" s="55"/>
      <c r="O73" s="55"/>
      <c r="P73" s="55"/>
    </row>
    <row r="74">
      <c r="B74" s="55"/>
      <c r="C74" s="55"/>
      <c r="D74" s="75">
        <f t="shared" ref="D74:G74" si="23">sum(D61:D62)</f>
        <v>5820396011</v>
      </c>
      <c r="E74" s="75">
        <f t="shared" si="23"/>
        <v>3596994045</v>
      </c>
      <c r="F74" s="75">
        <f t="shared" si="23"/>
        <v>3108486979</v>
      </c>
      <c r="G74" s="75">
        <f t="shared" si="23"/>
        <v>355423631.5</v>
      </c>
      <c r="H74" s="55"/>
      <c r="I74" s="72">
        <f>SUMproduct(D74:G74,$C$108:$F$108)</f>
        <v>1.41315E+18</v>
      </c>
      <c r="J74" s="95"/>
      <c r="K74" s="95"/>
      <c r="L74" s="58"/>
      <c r="M74" s="55"/>
      <c r="N74" s="55"/>
      <c r="O74" s="67"/>
      <c r="P74" s="55"/>
    </row>
    <row r="75">
      <c r="B75" s="55"/>
      <c r="C75" s="55" t="s">
        <v>554</v>
      </c>
      <c r="D75" s="55" t="s">
        <v>555</v>
      </c>
      <c r="E75" s="55" t="s">
        <v>4</v>
      </c>
      <c r="F75" s="55" t="s">
        <v>556</v>
      </c>
      <c r="G75" s="55" t="s">
        <v>478</v>
      </c>
      <c r="H75" s="55" t="s">
        <v>4</v>
      </c>
      <c r="I75" s="55"/>
      <c r="J75" s="55"/>
      <c r="K75" s="55"/>
      <c r="L75" s="55"/>
      <c r="M75" s="55"/>
      <c r="N75" s="55"/>
      <c r="O75" s="55"/>
      <c r="P75" s="55"/>
    </row>
    <row r="76">
      <c r="B76" s="55"/>
      <c r="C76" s="55" t="s">
        <v>557</v>
      </c>
      <c r="D76" s="66">
        <v>0.0044</v>
      </c>
      <c r="E76" s="66">
        <f>0.08%</f>
        <v>0.0008</v>
      </c>
      <c r="F76" s="68">
        <f>D76/F35</f>
        <v>0.005906040268</v>
      </c>
      <c r="G76" s="81">
        <f>F76*J35</f>
        <v>496809351.1</v>
      </c>
      <c r="H76" s="90">
        <f>sqrt(sumsq(E76/D76*G76,J36*F76))</f>
        <v>154986359.7</v>
      </c>
      <c r="I76" s="55"/>
      <c r="J76" s="55"/>
      <c r="K76" s="55"/>
      <c r="L76" s="55"/>
      <c r="M76" s="55"/>
      <c r="N76" s="55"/>
      <c r="O76" s="55"/>
      <c r="P76" s="55"/>
    </row>
    <row r="77">
      <c r="B77" s="55"/>
      <c r="C77" s="55"/>
      <c r="D77" s="55"/>
      <c r="E77" s="55" t="s">
        <v>470</v>
      </c>
      <c r="F77" s="55" t="s">
        <v>471</v>
      </c>
      <c r="G77" s="55" t="s">
        <v>472</v>
      </c>
      <c r="H77" s="55" t="s">
        <v>473</v>
      </c>
      <c r="I77" s="55" t="s">
        <v>474</v>
      </c>
      <c r="J77" s="55" t="s">
        <v>558</v>
      </c>
      <c r="K77" s="55"/>
      <c r="L77" s="55"/>
      <c r="M77" s="55"/>
      <c r="N77" s="55"/>
      <c r="O77" s="56"/>
      <c r="P77" s="55"/>
    </row>
    <row r="78">
      <c r="B78" s="55" t="s">
        <v>486</v>
      </c>
      <c r="C78" s="55" t="s">
        <v>559</v>
      </c>
      <c r="D78" s="55" t="s">
        <v>476</v>
      </c>
      <c r="E78" s="74">
        <v>0.424054024915586</v>
      </c>
      <c r="F78" s="74">
        <v>0.260929279798</v>
      </c>
      <c r="G78" s="74">
        <v>1.28092299855781</v>
      </c>
      <c r="H78" s="72">
        <v>7.0E10</v>
      </c>
      <c r="I78" s="68">
        <f t="shared" ref="I78:I79" si="24">E78*10^9/H78</f>
        <v>0.006057914642</v>
      </c>
      <c r="J78" s="72">
        <f t="shared" ref="J78:J79" si="25">I78*J35</f>
        <v>509584849.7</v>
      </c>
      <c r="K78" s="55"/>
      <c r="L78" s="55"/>
      <c r="M78" s="55"/>
      <c r="N78" s="55"/>
      <c r="O78" s="56"/>
      <c r="P78" s="55"/>
    </row>
    <row r="79">
      <c r="B79" s="55"/>
      <c r="C79" s="55"/>
      <c r="D79" s="55" t="s">
        <v>477</v>
      </c>
      <c r="E79" s="74">
        <v>0.0393233760572249</v>
      </c>
      <c r="F79" s="87"/>
      <c r="G79" s="87"/>
      <c r="H79" s="72">
        <f>H78</f>
        <v>70000000000</v>
      </c>
      <c r="I79" s="66">
        <f t="shared" si="24"/>
        <v>0.0005617625151</v>
      </c>
      <c r="J79" s="75">
        <f t="shared" si="25"/>
        <v>11979198.83</v>
      </c>
      <c r="K79" s="55"/>
      <c r="L79" s="55"/>
      <c r="M79" s="55"/>
      <c r="N79" s="55"/>
      <c r="O79" s="55"/>
      <c r="P79" s="55"/>
    </row>
    <row r="80">
      <c r="B80" s="55"/>
      <c r="C80" s="55"/>
      <c r="D80" s="55"/>
      <c r="E80" s="55"/>
      <c r="F80" s="64" t="s">
        <v>506</v>
      </c>
      <c r="G80" s="55"/>
      <c r="H80" s="55" t="s">
        <v>560</v>
      </c>
      <c r="I80" s="55"/>
      <c r="J80" s="64" t="s">
        <v>495</v>
      </c>
      <c r="K80" s="55"/>
      <c r="L80" s="55" t="s">
        <v>478</v>
      </c>
      <c r="M80" s="55"/>
      <c r="N80" s="55"/>
      <c r="O80" s="55"/>
      <c r="P80" s="55"/>
    </row>
    <row r="81">
      <c r="B81" s="55"/>
      <c r="C81" s="55"/>
      <c r="D81" s="55" t="s">
        <v>529</v>
      </c>
      <c r="E81" s="55" t="s">
        <v>561</v>
      </c>
      <c r="F81" s="55" t="s">
        <v>466</v>
      </c>
      <c r="G81" s="55" t="s">
        <v>4</v>
      </c>
      <c r="H81" s="55" t="s">
        <v>466</v>
      </c>
      <c r="I81" s="55" t="s">
        <v>4</v>
      </c>
      <c r="J81" s="55" t="s">
        <v>496</v>
      </c>
      <c r="K81" s="55" t="s">
        <v>562</v>
      </c>
      <c r="L81" s="55" t="s">
        <v>466</v>
      </c>
      <c r="M81" s="55" t="s">
        <v>4</v>
      </c>
      <c r="N81" s="55"/>
      <c r="O81" s="55"/>
      <c r="P81" s="55"/>
    </row>
    <row r="82">
      <c r="B82" s="55"/>
      <c r="C82" s="55" t="s">
        <v>331</v>
      </c>
      <c r="D82" s="65">
        <f t="shared" ref="D82:D83" si="26">J55/$J$57</f>
        <v>0.4202904492</v>
      </c>
      <c r="E82" s="65">
        <v>0.49</v>
      </c>
      <c r="F82" s="65">
        <v>0.36</v>
      </c>
      <c r="G82" s="68">
        <f>9/sqrt(19)/100</f>
        <v>0.02064741605</v>
      </c>
      <c r="H82" s="65">
        <v>0.22</v>
      </c>
      <c r="I82" s="65">
        <v>0.04</v>
      </c>
      <c r="J82" s="55"/>
      <c r="K82" s="55"/>
      <c r="L82" s="65">
        <f>round(average(D82/sum(D82:D83),E82/sum(E82:E83),F82/sum(F82:F83))*(1-L84),2)</f>
        <v>0.4</v>
      </c>
      <c r="M82" s="65">
        <f>STDEV(D82/sum(D82:D84),E82/sum(E82:E84),F82/sum(F82:F84))</f>
        <v>0.03081102794</v>
      </c>
      <c r="N82" s="72"/>
      <c r="O82" s="72"/>
      <c r="P82" s="72"/>
    </row>
    <row r="83">
      <c r="B83" s="55"/>
      <c r="C83" s="55" t="s">
        <v>333</v>
      </c>
      <c r="D83" s="65">
        <f t="shared" si="26"/>
        <v>0.5797095508</v>
      </c>
      <c r="E83" s="65">
        <v>0.53</v>
      </c>
      <c r="F83" s="65">
        <v>0.47</v>
      </c>
      <c r="G83" s="68">
        <f>9.6/sqrt(19)/100</f>
        <v>0.02202391045</v>
      </c>
      <c r="H83" s="65">
        <v>0.7</v>
      </c>
      <c r="I83" s="65">
        <v>0.05</v>
      </c>
      <c r="J83" s="55"/>
      <c r="K83" s="55"/>
      <c r="L83" s="65">
        <f>round(average(D83/sum(D82:D83),E83/sum(E82:E83),F83/sum(F82:F83))*(1-L84),2)</f>
        <v>0.5</v>
      </c>
      <c r="M83" s="65">
        <f>STDEV(D83/sum(D82:D84),E83/sum(E82:E84),F83/sum(F82:F84))</f>
        <v>0.02778681838</v>
      </c>
      <c r="N83" s="72"/>
      <c r="O83" s="72"/>
      <c r="P83" s="72"/>
    </row>
    <row r="84">
      <c r="B84" s="55"/>
      <c r="C84" s="55" t="s">
        <v>334</v>
      </c>
      <c r="D84" s="100">
        <f>average(F84,H84)</f>
        <v>0.08</v>
      </c>
      <c r="E84" s="100">
        <f>D84</f>
        <v>0.08</v>
      </c>
      <c r="F84" s="65">
        <v>0.08</v>
      </c>
      <c r="G84" s="68">
        <f>3/sqrt(19)/100</f>
        <v>0.006882472016</v>
      </c>
      <c r="H84" s="65">
        <v>0.08</v>
      </c>
      <c r="I84" s="65">
        <v>0.05</v>
      </c>
      <c r="J84" s="65">
        <v>0.1</v>
      </c>
      <c r="K84" s="55" t="s">
        <v>563</v>
      </c>
      <c r="L84" s="65">
        <f>J84</f>
        <v>0.1</v>
      </c>
      <c r="M84" s="65">
        <f>STDEV(D84/sum(D82:D84),E84/sum(E82:E84),F84/sum(F82:F84))</f>
        <v>0.008405188011</v>
      </c>
      <c r="N84" s="72"/>
      <c r="O84" s="72"/>
      <c r="P84" s="72"/>
    </row>
    <row r="85">
      <c r="B85" s="55"/>
      <c r="C85" s="55" t="s">
        <v>557</v>
      </c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72"/>
      <c r="O85" s="72"/>
      <c r="P85" s="75"/>
    </row>
    <row r="87">
      <c r="D87" s="55"/>
    </row>
    <row r="88">
      <c r="A88" s="65" t="s">
        <v>564</v>
      </c>
      <c r="B88" s="65">
        <v>0.85</v>
      </c>
      <c r="C88" s="65">
        <v>0.05</v>
      </c>
      <c r="D88" s="65"/>
    </row>
    <row r="89">
      <c r="A89" s="55"/>
      <c r="B89" s="55"/>
      <c r="C89" s="55"/>
      <c r="D89" s="55"/>
      <c r="E89" s="55"/>
      <c r="F89" s="64"/>
      <c r="G89" s="55"/>
      <c r="H89" s="55"/>
      <c r="I89" s="55"/>
      <c r="J89" s="55"/>
    </row>
    <row r="90">
      <c r="A90" s="55" t="s">
        <v>565</v>
      </c>
      <c r="B90" s="55" t="s">
        <v>566</v>
      </c>
      <c r="C90" s="101" t="s">
        <v>567</v>
      </c>
      <c r="D90" s="101" t="s">
        <v>536</v>
      </c>
      <c r="E90" s="55"/>
      <c r="F90" s="5" t="s">
        <v>568</v>
      </c>
      <c r="G90" s="5" t="s">
        <v>4</v>
      </c>
      <c r="J90" s="64" t="s">
        <v>569</v>
      </c>
      <c r="K90" s="55"/>
      <c r="L90" s="55"/>
      <c r="M90" s="55"/>
    </row>
    <row r="91">
      <c r="A91" s="55" t="s">
        <v>570</v>
      </c>
      <c r="B91" s="65">
        <v>0.565</v>
      </c>
      <c r="C91" s="102">
        <v>0.6</v>
      </c>
      <c r="D91" s="102">
        <f t="shared" ref="D91:D93" si="27">AVERAGE(B91:C91)</f>
        <v>0.5825</v>
      </c>
      <c r="E91" s="72"/>
      <c r="F91" s="40">
        <f t="shared" ref="F91:F93" si="28">D91*$B$88</f>
        <v>0.495125</v>
      </c>
      <c r="G91" s="41">
        <f t="shared" ref="G91:G93" si="29">sqrt(sumsq(STDEV(B91:C91)*$B$88,D91*$C$88))</f>
        <v>0.0359276617</v>
      </c>
      <c r="J91" s="55" t="s">
        <v>495</v>
      </c>
      <c r="K91" s="55"/>
      <c r="L91" s="55"/>
      <c r="M91" s="55"/>
    </row>
    <row r="92">
      <c r="A92" s="55" t="s">
        <v>571</v>
      </c>
      <c r="B92" s="65">
        <v>0.415</v>
      </c>
      <c r="C92" s="102">
        <v>0.39</v>
      </c>
      <c r="D92" s="102">
        <f t="shared" si="27"/>
        <v>0.4025</v>
      </c>
      <c r="E92" s="72"/>
      <c r="F92" s="40">
        <f t="shared" si="28"/>
        <v>0.342125</v>
      </c>
      <c r="G92" s="41">
        <f t="shared" si="29"/>
        <v>0.02511566991</v>
      </c>
      <c r="J92" s="55" t="s">
        <v>500</v>
      </c>
      <c r="K92" s="55" t="s">
        <v>496</v>
      </c>
      <c r="L92" s="55" t="s">
        <v>497</v>
      </c>
      <c r="M92" s="55" t="s">
        <v>498</v>
      </c>
    </row>
    <row r="93">
      <c r="A93" s="55" t="s">
        <v>572</v>
      </c>
      <c r="B93" s="68">
        <v>0.014</v>
      </c>
      <c r="C93" s="103">
        <v>0.016</v>
      </c>
      <c r="D93" s="104">
        <f t="shared" si="27"/>
        <v>0.015</v>
      </c>
      <c r="E93" s="72"/>
      <c r="F93" s="40">
        <f t="shared" si="28"/>
        <v>0.01275</v>
      </c>
      <c r="G93" s="41">
        <f t="shared" si="29"/>
        <v>0.001416862732</v>
      </c>
      <c r="J93" s="55" t="s">
        <v>573</v>
      </c>
      <c r="K93" s="68">
        <v>0.0145833333333332</v>
      </c>
      <c r="L93" s="68">
        <v>0.00972222222222225</v>
      </c>
      <c r="M93" s="68">
        <v>0.0267361111111111</v>
      </c>
    </row>
    <row r="94">
      <c r="B94" s="55"/>
      <c r="C94" s="55"/>
      <c r="D94" s="103"/>
      <c r="E94" s="75"/>
      <c r="J94" s="55" t="s">
        <v>574</v>
      </c>
      <c r="K94" s="68">
        <v>0.00972222222222239</v>
      </c>
      <c r="L94" s="68">
        <v>0.00486111111111122</v>
      </c>
      <c r="M94" s="68">
        <v>0.0153935185185186</v>
      </c>
    </row>
    <row r="95">
      <c r="A95" s="55"/>
      <c r="B95" s="55"/>
      <c r="C95" s="55"/>
      <c r="D95" s="55"/>
      <c r="E95" s="55"/>
      <c r="F95" s="55"/>
      <c r="G95" s="55"/>
    </row>
    <row r="96">
      <c r="A96" s="55" t="s">
        <v>557</v>
      </c>
      <c r="B96" s="55" t="s">
        <v>575</v>
      </c>
      <c r="C96" s="55" t="s">
        <v>4</v>
      </c>
      <c r="D96" s="55" t="s">
        <v>556</v>
      </c>
      <c r="E96" s="55" t="s">
        <v>576</v>
      </c>
      <c r="F96" s="84" t="s">
        <v>472</v>
      </c>
      <c r="H96" s="55"/>
      <c r="I96" s="55"/>
      <c r="J96" s="55"/>
    </row>
    <row r="97">
      <c r="A97" s="55" t="s">
        <v>554</v>
      </c>
      <c r="B97" s="66">
        <f>0.6/1000</f>
        <v>0.0006</v>
      </c>
      <c r="C97" s="66">
        <f>0.05%/sqrt(7)</f>
        <v>0.0001889822365</v>
      </c>
      <c r="D97" s="105">
        <f>B97*B88</f>
        <v>0.00051</v>
      </c>
      <c r="E97" s="79">
        <f>sqrt(sumsq(C97*$B$88,B97*$C$88))</f>
        <v>0.0001634122744</v>
      </c>
      <c r="I97" s="55"/>
      <c r="J97" s="55"/>
      <c r="K97" s="55" t="s">
        <v>577</v>
      </c>
      <c r="M97" s="55" t="s">
        <v>478</v>
      </c>
    </row>
    <row r="98">
      <c r="A98" s="55" t="s">
        <v>486</v>
      </c>
      <c r="D98" s="68">
        <f>K98/M98</f>
        <v>0.002105263158</v>
      </c>
      <c r="E98" s="68">
        <f>K99/M98</f>
        <v>0.0005263157895</v>
      </c>
      <c r="F98" s="68">
        <f>L99/M98</f>
        <v>0.006315789474</v>
      </c>
      <c r="I98" s="55" t="s">
        <v>578</v>
      </c>
      <c r="J98" s="55"/>
      <c r="K98" s="72">
        <f>0.4*10^9</f>
        <v>400000000</v>
      </c>
      <c r="M98" s="72">
        <f>1.9*10^11</f>
        <v>190000000000</v>
      </c>
    </row>
    <row r="99">
      <c r="A99" s="55" t="s">
        <v>536</v>
      </c>
      <c r="B99" s="55"/>
      <c r="C99" s="106"/>
      <c r="D99" s="103">
        <f>average(D97:D98)</f>
        <v>0.001307631579</v>
      </c>
      <c r="E99" s="79">
        <f>sqrt(sumsq(stdev(D97:D98), average(E97:E98)))</f>
        <v>0.001179560711</v>
      </c>
      <c r="F99" s="55"/>
      <c r="G99" s="55"/>
      <c r="H99" s="55"/>
      <c r="I99" s="55"/>
      <c r="J99" s="55"/>
      <c r="K99" s="72">
        <f>0.1*10^9</f>
        <v>100000000</v>
      </c>
      <c r="L99" s="72">
        <f>1.2*10^9</f>
        <v>1200000000</v>
      </c>
    </row>
    <row r="100">
      <c r="A100" s="55"/>
      <c r="B100" s="55"/>
      <c r="C100" s="106"/>
      <c r="D100" s="106"/>
      <c r="E100" s="55"/>
      <c r="F100" s="55"/>
      <c r="G100" s="55"/>
      <c r="H100" s="55"/>
      <c r="I100" s="55"/>
      <c r="J100" s="55"/>
    </row>
    <row r="101">
      <c r="A101" s="55"/>
      <c r="B101" s="55"/>
      <c r="C101" s="101"/>
      <c r="D101" s="101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</row>
    <row r="102">
      <c r="I102" s="55"/>
      <c r="J102" s="74"/>
      <c r="K102" s="74"/>
      <c r="L102" s="74"/>
      <c r="M102" s="72"/>
      <c r="N102" s="68"/>
      <c r="O102" s="66" t="str">
        <f t="shared" ref="O102:P102" si="30">K102*10^9/$G$198</f>
        <v>#DIV/0!</v>
      </c>
      <c r="P102" s="68" t="str">
        <f t="shared" si="30"/>
        <v>#DIV/0!</v>
      </c>
    </row>
    <row r="103">
      <c r="I103" s="55"/>
      <c r="J103" s="55"/>
      <c r="K103" s="55"/>
      <c r="L103" s="55"/>
      <c r="M103" s="107"/>
      <c r="N103" s="75"/>
      <c r="O103" s="75" t="str">
        <f t="shared" ref="O103:P103" si="31">O102*$G$199</f>
        <v>#DIV/0!</v>
      </c>
      <c r="P103" s="75" t="str">
        <f t="shared" si="31"/>
        <v>#DIV/0!</v>
      </c>
    </row>
    <row r="104">
      <c r="A104" s="5" t="s">
        <v>22</v>
      </c>
    </row>
    <row r="106">
      <c r="A106" s="45" t="s">
        <v>579</v>
      </c>
      <c r="B106" s="45" t="s">
        <v>580</v>
      </c>
      <c r="C106" s="108">
        <f>9*10^6</f>
        <v>9000000</v>
      </c>
      <c r="D106" s="108">
        <f>5*10^6</f>
        <v>5000000</v>
      </c>
    </row>
    <row r="107">
      <c r="A107" s="45"/>
      <c r="B107" s="45" t="s">
        <v>581</v>
      </c>
      <c r="C107" s="109">
        <v>20.0</v>
      </c>
      <c r="D107" s="109">
        <v>2.0</v>
      </c>
    </row>
    <row r="108">
      <c r="A108" s="45"/>
      <c r="B108" s="45" t="s">
        <v>582</v>
      </c>
      <c r="C108" s="110">
        <f>C106*C107</f>
        <v>180000000</v>
      </c>
      <c r="D108" s="110">
        <f>sqrt(SUMSQ(D107*C106,C107*D106))</f>
        <v>101607086.4</v>
      </c>
    </row>
    <row r="110">
      <c r="A110" s="45"/>
      <c r="B110" s="45" t="s">
        <v>583</v>
      </c>
      <c r="C110" s="45"/>
      <c r="D110" s="45"/>
    </row>
    <row r="111">
      <c r="A111" s="45"/>
      <c r="B111" s="45" t="s">
        <v>579</v>
      </c>
      <c r="C111" s="45" t="s">
        <v>584</v>
      </c>
      <c r="D111" s="45" t="s">
        <v>585</v>
      </c>
    </row>
    <row r="112">
      <c r="A112" s="45"/>
      <c r="B112" s="45" t="s">
        <v>586</v>
      </c>
      <c r="C112" s="45" t="s">
        <v>587</v>
      </c>
      <c r="D112" s="45" t="s">
        <v>266</v>
      </c>
    </row>
    <row r="113">
      <c r="A113" s="45"/>
      <c r="B113" s="45" t="s">
        <v>588</v>
      </c>
      <c r="C113" s="45"/>
      <c r="D113" s="45"/>
    </row>
    <row r="114">
      <c r="A114" s="45"/>
      <c r="B114" s="45" t="s">
        <v>589</v>
      </c>
      <c r="C114" s="45"/>
      <c r="D114" s="45"/>
    </row>
    <row r="115">
      <c r="A115" s="45"/>
      <c r="B115" s="45" t="s">
        <v>590</v>
      </c>
      <c r="C115" s="45"/>
      <c r="D115" s="45"/>
    </row>
    <row r="116">
      <c r="A116" s="45"/>
      <c r="B116" s="45" t="s">
        <v>591</v>
      </c>
      <c r="C116" s="45"/>
      <c r="D116" s="45"/>
    </row>
    <row r="117">
      <c r="A117" s="45"/>
      <c r="B117" s="45"/>
      <c r="C117" s="45"/>
      <c r="D117" s="45"/>
    </row>
    <row r="118">
      <c r="A118" s="45" t="s">
        <v>592</v>
      </c>
      <c r="B118" s="45" t="s">
        <v>593</v>
      </c>
      <c r="C118" s="43">
        <f>2*10^9</f>
        <v>2000000000</v>
      </c>
      <c r="D118" s="43">
        <f>1*10^9</f>
        <v>1000000000</v>
      </c>
    </row>
    <row r="119">
      <c r="A119" s="45" t="s">
        <v>594</v>
      </c>
      <c r="B119" s="45" t="s">
        <v>595</v>
      </c>
      <c r="C119" s="45" t="s">
        <v>570</v>
      </c>
      <c r="D119" s="45" t="s">
        <v>571</v>
      </c>
    </row>
    <row r="120">
      <c r="A120" s="45"/>
      <c r="B120" s="45"/>
      <c r="C120" s="43">
        <f>C118*99.5%</f>
        <v>1990000000</v>
      </c>
      <c r="D120" s="43">
        <f>0.5%*C118</f>
        <v>10000000</v>
      </c>
    </row>
    <row r="121">
      <c r="A121" s="45"/>
      <c r="B121" s="45"/>
      <c r="C121" s="43">
        <f>D118</f>
        <v>1000000000</v>
      </c>
      <c r="D121" s="43">
        <f>C121/C120*D120</f>
        <v>5025125.628</v>
      </c>
    </row>
    <row r="125">
      <c r="A125" s="45" t="s">
        <v>579</v>
      </c>
    </row>
    <row r="126">
      <c r="A126" s="45" t="s">
        <v>586</v>
      </c>
    </row>
    <row r="127">
      <c r="A127" s="45" t="s">
        <v>594</v>
      </c>
    </row>
    <row r="130">
      <c r="A130" s="77" t="s">
        <v>25</v>
      </c>
    </row>
    <row r="131">
      <c r="A131" s="45"/>
      <c r="B131" s="45" t="s">
        <v>596</v>
      </c>
      <c r="C131" s="45" t="s">
        <v>597</v>
      </c>
      <c r="D131" s="45" t="s">
        <v>598</v>
      </c>
      <c r="E131" s="45" t="s">
        <v>598</v>
      </c>
      <c r="F131" s="45" t="s">
        <v>599</v>
      </c>
      <c r="G131" s="45"/>
      <c r="H131" s="45" t="s">
        <v>478</v>
      </c>
      <c r="I131" s="45" t="s">
        <v>4</v>
      </c>
      <c r="K131" s="45"/>
    </row>
    <row r="132">
      <c r="A132" s="45" t="s">
        <v>565</v>
      </c>
      <c r="B132" s="45" t="s">
        <v>155</v>
      </c>
      <c r="C132" s="45" t="s">
        <v>600</v>
      </c>
      <c r="D132" s="45" t="s">
        <v>601</v>
      </c>
      <c r="E132" s="45" t="s">
        <v>155</v>
      </c>
      <c r="F132" s="45" t="s">
        <v>602</v>
      </c>
      <c r="G132" s="111" t="s">
        <v>603</v>
      </c>
      <c r="H132" s="45" t="s">
        <v>604</v>
      </c>
      <c r="I132" s="45"/>
      <c r="K132" s="45"/>
    </row>
    <row r="133">
      <c r="A133" s="45" t="s">
        <v>331</v>
      </c>
      <c r="B133" s="45"/>
      <c r="C133" s="112">
        <f>1-sum(C134:C135)</f>
        <v>0.63</v>
      </c>
      <c r="D133" s="112">
        <f>158/248</f>
        <v>0.6370967742</v>
      </c>
      <c r="E133" s="112">
        <f>48/(48+10+35)</f>
        <v>0.5161290323</v>
      </c>
      <c r="F133" s="112">
        <f>24/(24+38+5)</f>
        <v>0.3582089552</v>
      </c>
      <c r="G133" s="45"/>
      <c r="H133" s="112">
        <f t="shared" ref="H133:H135" si="32">average($D133:$F133)</f>
        <v>0.5038115872</v>
      </c>
      <c r="I133" s="113">
        <f t="shared" ref="I133:I135" si="33">STDEV($D133:$F133)/sqrt(2)</f>
        <v>0.09888982122</v>
      </c>
      <c r="K133" s="43"/>
    </row>
    <row r="134">
      <c r="A134" s="45" t="s">
        <v>333</v>
      </c>
      <c r="B134" s="45"/>
      <c r="C134" s="112">
        <v>0.06</v>
      </c>
      <c r="D134" s="112">
        <f>43/248</f>
        <v>0.1733870968</v>
      </c>
      <c r="E134" s="112">
        <f>10/(48+10+35)</f>
        <v>0.1075268817</v>
      </c>
      <c r="F134" s="112">
        <f>5/(24+38+5)</f>
        <v>0.07462686567</v>
      </c>
      <c r="G134" s="45"/>
      <c r="H134" s="112">
        <f t="shared" si="32"/>
        <v>0.1185136147</v>
      </c>
      <c r="I134" s="113">
        <f t="shared" si="33"/>
        <v>0.03555929582</v>
      </c>
      <c r="K134" s="43"/>
    </row>
    <row r="135">
      <c r="A135" s="45" t="s">
        <v>334</v>
      </c>
      <c r="B135" s="112">
        <v>0.3</v>
      </c>
      <c r="C135" s="112">
        <v>0.31</v>
      </c>
      <c r="D135" s="112">
        <f>47/248</f>
        <v>0.189516129</v>
      </c>
      <c r="E135" s="112">
        <f>35/(48+10+35)</f>
        <v>0.376344086</v>
      </c>
      <c r="F135" s="112">
        <f>38/(24+38+5)</f>
        <v>0.5671641791</v>
      </c>
      <c r="G135" s="112">
        <v>0.25</v>
      </c>
      <c r="H135" s="112">
        <f t="shared" si="32"/>
        <v>0.3776747981</v>
      </c>
      <c r="I135" s="113">
        <f t="shared" si="33"/>
        <v>0.1335212353</v>
      </c>
      <c r="K135" s="43"/>
    </row>
    <row r="137">
      <c r="A137" s="77" t="s">
        <v>37</v>
      </c>
    </row>
    <row r="138">
      <c r="A138" s="45" t="s">
        <v>605</v>
      </c>
      <c r="B138" s="45" t="s">
        <v>606</v>
      </c>
      <c r="C138" s="45" t="s">
        <v>466</v>
      </c>
      <c r="D138" s="45" t="s">
        <v>4</v>
      </c>
      <c r="E138" s="45"/>
    </row>
    <row r="139">
      <c r="A139" s="45"/>
      <c r="B139" s="45" t="s">
        <v>607</v>
      </c>
      <c r="C139" s="114">
        <v>7.8891326255701</v>
      </c>
      <c r="D139" s="114">
        <v>1.5615129509848797</v>
      </c>
      <c r="E139" s="45"/>
    </row>
    <row r="140">
      <c r="A140" s="45"/>
      <c r="B140" s="45" t="s">
        <v>608</v>
      </c>
      <c r="C140" s="114">
        <v>2.41971155905554</v>
      </c>
      <c r="D140" s="45"/>
      <c r="E140" s="45"/>
    </row>
    <row r="141">
      <c r="A141" s="45"/>
      <c r="B141" s="45"/>
      <c r="C141" s="43"/>
      <c r="D141" s="43"/>
      <c r="E141" s="45"/>
    </row>
    <row r="142">
      <c r="A142" s="45" t="s">
        <v>495</v>
      </c>
      <c r="B142" s="45"/>
      <c r="C142" s="45" t="s">
        <v>496</v>
      </c>
      <c r="D142" s="45" t="s">
        <v>497</v>
      </c>
      <c r="E142" s="45" t="s">
        <v>498</v>
      </c>
    </row>
    <row r="143">
      <c r="A143" s="45"/>
      <c r="B143" s="45" t="s">
        <v>500</v>
      </c>
      <c r="C143" s="112">
        <v>0.141782407407407</v>
      </c>
      <c r="D143" s="112">
        <v>0.0729166666666666</v>
      </c>
      <c r="E143" s="112">
        <v>0.225231481481481</v>
      </c>
    </row>
    <row r="144">
      <c r="A144" s="55"/>
      <c r="B144" s="55"/>
      <c r="C144" s="75"/>
      <c r="D144" s="75"/>
      <c r="E144" s="55"/>
    </row>
    <row r="145">
      <c r="A145" s="115" t="s">
        <v>609</v>
      </c>
      <c r="B145" s="55"/>
      <c r="C145" s="115" t="s">
        <v>610</v>
      </c>
      <c r="D145" s="55"/>
      <c r="E145" s="115" t="s">
        <v>611</v>
      </c>
      <c r="F145" s="55"/>
    </row>
    <row r="146">
      <c r="A146" s="55"/>
      <c r="B146" s="55"/>
      <c r="C146" s="55" t="s">
        <v>466</v>
      </c>
      <c r="D146" s="55" t="s">
        <v>4</v>
      </c>
      <c r="E146" s="55"/>
      <c r="F146" s="55"/>
    </row>
    <row r="147">
      <c r="A147" s="69" t="s">
        <v>612</v>
      </c>
      <c r="B147" s="55" t="s">
        <v>613</v>
      </c>
      <c r="C147" s="61">
        <v>480.0</v>
      </c>
      <c r="D147" s="61">
        <v>60.0</v>
      </c>
      <c r="E147" s="55"/>
      <c r="F147" s="55"/>
    </row>
    <row r="148">
      <c r="A148" s="55"/>
      <c r="B148" s="55" t="s">
        <v>614</v>
      </c>
      <c r="C148" s="75">
        <f>4*pi()/3*(C147/2)^3/10^12</f>
        <v>0.00005790583579</v>
      </c>
      <c r="D148" s="75">
        <f>2*pi()*(C147/2)^2*D147/10^12</f>
        <v>0.00002171468842</v>
      </c>
      <c r="E148" s="55"/>
      <c r="F148" s="55"/>
    </row>
    <row r="149">
      <c r="A149" s="55"/>
      <c r="B149" s="55" t="s">
        <v>615</v>
      </c>
      <c r="C149" s="75">
        <f t="shared" ref="C149:D149" si="34">C148/0.2*10^9/1.06</f>
        <v>273140.7349</v>
      </c>
      <c r="D149" s="75">
        <f t="shared" si="34"/>
        <v>102427.7756</v>
      </c>
      <c r="E149" s="55"/>
      <c r="F149" s="55"/>
    </row>
    <row r="150">
      <c r="A150" s="55" t="s">
        <v>616</v>
      </c>
      <c r="B150" s="55" t="s">
        <v>617</v>
      </c>
      <c r="C150" s="61">
        <v>0.7</v>
      </c>
      <c r="D150" s="61">
        <v>0.1</v>
      </c>
      <c r="E150" s="55" t="s">
        <v>618</v>
      </c>
      <c r="F150" s="55"/>
    </row>
    <row r="151">
      <c r="A151" s="55"/>
      <c r="B151" s="55" t="s">
        <v>619</v>
      </c>
      <c r="C151" s="75">
        <f>C150*C149</f>
        <v>191198.5144</v>
      </c>
      <c r="D151" s="75">
        <f>sqrt(sumsq(D150/C150,D149/C149))*C151</f>
        <v>76725.93253</v>
      </c>
      <c r="E151" s="55"/>
      <c r="F151" s="55"/>
    </row>
    <row r="152">
      <c r="A152" s="55"/>
      <c r="B152" s="55" t="s">
        <v>620</v>
      </c>
      <c r="C152" s="61">
        <v>0.2</v>
      </c>
      <c r="D152" s="61">
        <v>0.1</v>
      </c>
      <c r="E152" s="55"/>
      <c r="F152" s="55"/>
    </row>
    <row r="153">
      <c r="A153" s="55"/>
      <c r="B153" s="55"/>
      <c r="C153" s="55"/>
      <c r="D153" s="57"/>
      <c r="E153" s="58"/>
      <c r="F153" s="58"/>
    </row>
    <row r="154">
      <c r="A154" s="55"/>
      <c r="B154" s="55" t="s">
        <v>621</v>
      </c>
      <c r="C154" s="55" t="s">
        <v>4</v>
      </c>
      <c r="D154" s="55" t="s">
        <v>622</v>
      </c>
      <c r="E154" s="55" t="s">
        <v>4</v>
      </c>
      <c r="F154" s="58" t="s">
        <v>490</v>
      </c>
    </row>
    <row r="155">
      <c r="A155" s="55" t="s">
        <v>34</v>
      </c>
      <c r="B155" s="75">
        <f>$C$152*sum(GIT_dimensions!$H$3:$H$5)*100</f>
        <v>76654.86075</v>
      </c>
      <c r="C155" s="75">
        <f>sqrt(sumsq(GIT_dimensions!$I9/GIT_dimensions!$H9,$D$152/$C$152))*B155</f>
        <v>39860.43548</v>
      </c>
      <c r="D155" s="72">
        <f t="shared" ref="D155:D156" si="35">B155*$C$151</f>
        <v>14656295497</v>
      </c>
      <c r="E155" s="72">
        <f t="shared" ref="E155:E156" si="36">sqrt(sumsq(C155/B155,$D$151/$C$151))*D155</f>
        <v>9626764465</v>
      </c>
      <c r="F155" s="72">
        <f>D155/GIT_dimensions!$X9/GIT_dimensions!$B$17</f>
        <v>109419797.1</v>
      </c>
    </row>
    <row r="156">
      <c r="A156" s="55" t="s">
        <v>623</v>
      </c>
      <c r="B156" s="75">
        <f>$C$152*sum(GIT_dimensions!$H$6:$H$7)*100</f>
        <v>51270.79211</v>
      </c>
      <c r="C156" s="75">
        <f>sqrt(sumsq(GIT_dimensions!$I10/GIT_dimensions!$H10,$D$152/$C$152))*B156</f>
        <v>27998.54208</v>
      </c>
      <c r="D156" s="72">
        <f t="shared" si="35"/>
        <v>9802899283</v>
      </c>
      <c r="E156" s="72">
        <f t="shared" si="36"/>
        <v>6643220623</v>
      </c>
      <c r="F156" s="72">
        <f>D156/GIT_dimensions!$X10/GIT_dimensions!$B$17</f>
        <v>164536489.3</v>
      </c>
    </row>
    <row r="157">
      <c r="A157" s="64" t="s">
        <v>624</v>
      </c>
      <c r="B157" s="55"/>
      <c r="C157" s="55"/>
      <c r="D157" s="55"/>
      <c r="E157" s="55"/>
      <c r="F157" s="55"/>
    </row>
    <row r="158">
      <c r="A158" s="55"/>
      <c r="B158" s="55" t="s">
        <v>621</v>
      </c>
      <c r="C158" s="55" t="s">
        <v>622</v>
      </c>
      <c r="D158" s="58" t="s">
        <v>490</v>
      </c>
      <c r="E158" s="55" t="s">
        <v>2</v>
      </c>
      <c r="F158" s="55"/>
    </row>
    <row r="159">
      <c r="A159" s="55" t="s">
        <v>34</v>
      </c>
      <c r="B159" s="75">
        <f>B160*sum(GIT_dimensions!$B$3:$B$5)/GIT_dimensions!$B$6</f>
        <v>57933.33333</v>
      </c>
      <c r="C159" s="72">
        <f t="shared" ref="C159:C160" si="37">B159*$C$151</f>
        <v>11076767268</v>
      </c>
      <c r="D159" s="72">
        <f>C159/GIT_dimensions!$X9/GIT_dimensions!$B$17</f>
        <v>82696041.91</v>
      </c>
      <c r="E159" s="55"/>
      <c r="F159" s="55"/>
    </row>
    <row r="160">
      <c r="A160" s="55" t="s">
        <v>623</v>
      </c>
      <c r="B160" s="75">
        <f>15800</f>
        <v>15800</v>
      </c>
      <c r="C160" s="72">
        <f t="shared" si="37"/>
        <v>3020936528</v>
      </c>
      <c r="D160" s="72">
        <f>C160/GIT_dimensions!$X10/GIT_dimensions!$B$17</f>
        <v>50704824.81</v>
      </c>
      <c r="E160" s="55"/>
      <c r="F160" s="55"/>
    </row>
    <row r="161">
      <c r="A161" s="55" t="s">
        <v>625</v>
      </c>
      <c r="B161" s="72">
        <f>10^4</f>
        <v>10000</v>
      </c>
      <c r="C161" s="75">
        <f>B161*C151</f>
        <v>1911985144</v>
      </c>
      <c r="D161" s="75">
        <f>C161/GIT_dimensions!B16</f>
        <v>95599257.2</v>
      </c>
      <c r="E161" s="64" t="s">
        <v>626</v>
      </c>
      <c r="F161" s="55"/>
    </row>
    <row r="162">
      <c r="A162" s="64" t="s">
        <v>627</v>
      </c>
      <c r="B162" s="55"/>
      <c r="C162" s="55"/>
      <c r="D162" s="55"/>
      <c r="E162" s="55"/>
      <c r="F162" s="55"/>
    </row>
    <row r="163">
      <c r="A163" s="55"/>
      <c r="B163" s="55" t="s">
        <v>621</v>
      </c>
      <c r="C163" s="55" t="s">
        <v>622</v>
      </c>
      <c r="D163" s="55" t="s">
        <v>628</v>
      </c>
      <c r="E163" s="116" t="s">
        <v>490</v>
      </c>
      <c r="F163" s="55" t="s">
        <v>2</v>
      </c>
    </row>
    <row r="164">
      <c r="A164" s="55" t="s">
        <v>34</v>
      </c>
      <c r="B164" s="75">
        <f t="shared" ref="B164:B165" si="38">AVERAGE(B155,B159)</f>
        <v>67294.09704</v>
      </c>
      <c r="C164" s="72">
        <f t="shared" ref="C164:C165" si="39">B164*$C$151</f>
        <v>12866531382</v>
      </c>
      <c r="D164" s="72">
        <f>sqrt(sumsq(STDEV(D155,C159) , E155))</f>
        <v>9953949228</v>
      </c>
      <c r="E164" s="76">
        <f>C164/GIT_dimensions!$X9/GIT_dimensions!$B$17</f>
        <v>96057919.48</v>
      </c>
      <c r="F164" s="55"/>
    </row>
    <row r="165">
      <c r="A165" s="55" t="s">
        <v>623</v>
      </c>
      <c r="B165" s="75">
        <f t="shared" si="38"/>
        <v>33535.39605</v>
      </c>
      <c r="C165" s="75">
        <f t="shared" si="39"/>
        <v>6411917905</v>
      </c>
      <c r="D165" s="72">
        <f>STDEV(D156,C160)</f>
        <v>4795571854</v>
      </c>
      <c r="E165" s="76">
        <f>C165/GIT_dimensions!$X10/GIT_dimensions!$B$17</f>
        <v>107620657.1</v>
      </c>
      <c r="F165" s="55"/>
    </row>
    <row r="166">
      <c r="A166" s="55" t="s">
        <v>625</v>
      </c>
      <c r="B166" s="72">
        <f>10^4</f>
        <v>10000</v>
      </c>
      <c r="C166" s="75">
        <f>C161</f>
        <v>1911985144</v>
      </c>
      <c r="D166" s="72">
        <f>AVERAGE(D164/C164,D165/C165)*C166</f>
        <v>1454587138</v>
      </c>
      <c r="E166" s="76">
        <f>C166/GIT_dimensions!B16</f>
        <v>95599257.2</v>
      </c>
      <c r="F166" s="64" t="s">
        <v>626</v>
      </c>
    </row>
    <row r="168">
      <c r="A168" s="69" t="s">
        <v>427</v>
      </c>
      <c r="B168" s="55"/>
      <c r="C168" s="55"/>
      <c r="D168" s="55"/>
      <c r="E168" s="55"/>
      <c r="F168" s="55"/>
    </row>
    <row r="169">
      <c r="A169" s="64" t="s">
        <v>629</v>
      </c>
      <c r="B169" s="55"/>
      <c r="C169" s="64" t="s">
        <v>630</v>
      </c>
      <c r="D169" s="55"/>
      <c r="E169" s="55"/>
      <c r="F169" s="55"/>
    </row>
    <row r="170">
      <c r="A170" s="55"/>
      <c r="B170" s="55" t="s">
        <v>631</v>
      </c>
      <c r="C170" s="55" t="s">
        <v>632</v>
      </c>
      <c r="D170" s="55" t="s">
        <v>4</v>
      </c>
      <c r="E170" s="55"/>
      <c r="F170" s="55"/>
    </row>
    <row r="171">
      <c r="A171" s="55" t="s">
        <v>633</v>
      </c>
      <c r="B171" s="68">
        <v>0.6016621137199314</v>
      </c>
      <c r="C171" s="68">
        <v>0.20307403588265655</v>
      </c>
      <c r="D171" s="68">
        <v>0.07179751392777335</v>
      </c>
      <c r="E171" s="55"/>
      <c r="F171" s="55" t="s">
        <v>466</v>
      </c>
    </row>
    <row r="172">
      <c r="A172" s="55" t="s">
        <v>634</v>
      </c>
      <c r="B172" s="68">
        <v>0.08604954067106987</v>
      </c>
      <c r="C172" s="55"/>
      <c r="D172" s="55"/>
      <c r="E172" s="55" t="s">
        <v>635</v>
      </c>
      <c r="F172" s="68">
        <f>B171+B173+B172</f>
        <v>0.8528648985</v>
      </c>
    </row>
    <row r="173">
      <c r="A173" s="55" t="s">
        <v>636</v>
      </c>
      <c r="B173" s="68">
        <v>0.16515324411862956</v>
      </c>
      <c r="C173" s="55"/>
      <c r="D173" s="55"/>
      <c r="E173" s="55" t="s">
        <v>637</v>
      </c>
      <c r="F173" s="66">
        <f>B171/F172</f>
        <v>0.7054600497</v>
      </c>
    </row>
    <row r="174">
      <c r="A174" s="55" t="s">
        <v>638</v>
      </c>
      <c r="B174" s="68">
        <v>0.013308436206876627</v>
      </c>
      <c r="C174" s="55"/>
      <c r="D174" s="55"/>
      <c r="E174" s="55"/>
      <c r="F174" s="55"/>
    </row>
    <row r="175">
      <c r="A175" s="55" t="s">
        <v>639</v>
      </c>
      <c r="B175" s="68">
        <v>0.13382666528349263</v>
      </c>
      <c r="C175" s="55"/>
      <c r="D175" s="55"/>
      <c r="E175" s="55"/>
      <c r="F175" s="55"/>
    </row>
    <row r="177">
      <c r="A177" s="55" t="s">
        <v>640</v>
      </c>
      <c r="B177" s="64" t="s">
        <v>641</v>
      </c>
      <c r="C177" s="68">
        <f>sum(C179:C180)</f>
        <v>0.8528648985</v>
      </c>
      <c r="D177" s="55"/>
      <c r="E177" s="55"/>
      <c r="F177" s="55"/>
    </row>
    <row r="178">
      <c r="A178" s="55"/>
      <c r="B178" s="57" t="s">
        <v>333</v>
      </c>
      <c r="C178" s="68">
        <f>sum(B174:B175)</f>
        <v>0.1471351015</v>
      </c>
      <c r="D178" s="55"/>
      <c r="E178" s="55"/>
    </row>
    <row r="179">
      <c r="A179" s="55"/>
      <c r="B179" s="64" t="s">
        <v>642</v>
      </c>
      <c r="C179" s="68">
        <f>sum(B172:B173)</f>
        <v>0.2512027848</v>
      </c>
      <c r="D179" s="55"/>
      <c r="E179" s="55"/>
    </row>
    <row r="180">
      <c r="A180" s="55"/>
      <c r="B180" s="55" t="s">
        <v>557</v>
      </c>
      <c r="C180" s="68">
        <f>B171</f>
        <v>0.6016621137</v>
      </c>
      <c r="D180" s="55"/>
      <c r="E180" s="55"/>
    </row>
    <row r="181">
      <c r="A181" s="55"/>
      <c r="C181" s="55"/>
      <c r="D181" s="55"/>
      <c r="E181" s="55"/>
    </row>
    <row r="182">
      <c r="B182" s="5" t="s">
        <v>643</v>
      </c>
      <c r="C182" s="40">
        <f>C179/C177</f>
        <v>0.2945399503</v>
      </c>
      <c r="D182" s="40">
        <f>0.5*C182</f>
        <v>0.1472699751</v>
      </c>
      <c r="K182" s="55"/>
    </row>
    <row r="183">
      <c r="K183" s="55"/>
    </row>
    <row r="189">
      <c r="K189" s="55"/>
    </row>
    <row r="190">
      <c r="K190" s="55"/>
    </row>
    <row r="191">
      <c r="K191" s="55"/>
    </row>
    <row r="192">
      <c r="K192" s="55"/>
    </row>
    <row r="193">
      <c r="K193" s="55"/>
    </row>
    <row r="194">
      <c r="K194" s="55"/>
    </row>
    <row r="195">
      <c r="A195" s="55"/>
      <c r="C195" s="55"/>
      <c r="F195" s="55"/>
      <c r="G195" s="55"/>
      <c r="H195" s="55"/>
      <c r="I195" s="55"/>
      <c r="J195" s="55"/>
      <c r="K195" s="55"/>
    </row>
    <row r="196">
      <c r="A196" s="55"/>
      <c r="B196" s="55"/>
      <c r="E196" s="68"/>
      <c r="F196" s="90"/>
      <c r="G196" s="90"/>
      <c r="H196" s="55"/>
      <c r="I196" s="55"/>
      <c r="J196" s="55"/>
      <c r="K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</row>
    <row r="198">
      <c r="B198" s="55"/>
      <c r="C198" s="55"/>
      <c r="D198" s="74"/>
      <c r="E198" s="74"/>
      <c r="F198" s="74"/>
      <c r="K198" s="55"/>
    </row>
    <row r="199">
      <c r="A199" s="55"/>
      <c r="B199" s="55"/>
      <c r="C199" s="55"/>
      <c r="D199" s="55"/>
      <c r="E199" s="55"/>
      <c r="F199" s="55"/>
      <c r="G199" s="107"/>
      <c r="H199" s="75"/>
      <c r="I199" s="75"/>
      <c r="J199" s="75"/>
      <c r="K199" s="5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5" t="s">
        <v>644</v>
      </c>
      <c r="B1" s="55"/>
      <c r="C1" s="55"/>
      <c r="D1" s="55"/>
      <c r="E1" s="55"/>
      <c r="F1" s="55"/>
      <c r="G1" s="55"/>
      <c r="H1" s="55"/>
      <c r="I1" s="55"/>
      <c r="J1" s="64" t="s">
        <v>645</v>
      </c>
      <c r="K1" s="55"/>
      <c r="L1" s="55"/>
      <c r="M1" s="64" t="s">
        <v>646</v>
      </c>
      <c r="N1" s="55"/>
      <c r="O1" s="55"/>
      <c r="P1" s="64" t="s">
        <v>647</v>
      </c>
      <c r="Q1" s="55"/>
      <c r="R1" s="55"/>
      <c r="S1" s="55"/>
      <c r="T1" s="55"/>
      <c r="U1" s="55"/>
      <c r="V1" s="55"/>
      <c r="W1" s="55"/>
      <c r="X1" s="55"/>
      <c r="Y1" s="55"/>
    </row>
    <row r="2">
      <c r="A2" s="69" t="s">
        <v>648</v>
      </c>
      <c r="B2" s="69" t="s">
        <v>649</v>
      </c>
      <c r="C2" s="69" t="s">
        <v>650</v>
      </c>
      <c r="D2" s="69" t="s">
        <v>651</v>
      </c>
      <c r="E2" s="69" t="s">
        <v>652</v>
      </c>
      <c r="F2" s="69" t="s">
        <v>653</v>
      </c>
      <c r="G2" s="69" t="s">
        <v>654</v>
      </c>
      <c r="H2" s="117" t="s">
        <v>655</v>
      </c>
      <c r="I2" s="69" t="s">
        <v>656</v>
      </c>
      <c r="J2" s="69" t="s">
        <v>657</v>
      </c>
      <c r="K2" s="69" t="s">
        <v>658</v>
      </c>
      <c r="L2" s="69" t="s">
        <v>659</v>
      </c>
      <c r="M2" s="69" t="s">
        <v>660</v>
      </c>
      <c r="N2" s="69" t="s">
        <v>661</v>
      </c>
      <c r="O2" s="69" t="s">
        <v>662</v>
      </c>
      <c r="P2" s="69" t="s">
        <v>663</v>
      </c>
      <c r="Q2" s="69" t="s">
        <v>664</v>
      </c>
      <c r="R2" s="69" t="s">
        <v>665</v>
      </c>
      <c r="S2" s="69" t="s">
        <v>666</v>
      </c>
      <c r="T2" s="69" t="s">
        <v>667</v>
      </c>
      <c r="U2" s="69" t="s">
        <v>668</v>
      </c>
      <c r="V2" s="69" t="s">
        <v>669</v>
      </c>
      <c r="W2" s="69" t="s">
        <v>670</v>
      </c>
      <c r="X2" s="69" t="s">
        <v>671</v>
      </c>
      <c r="Y2" s="69" t="s">
        <v>672</v>
      </c>
    </row>
    <row r="3">
      <c r="A3" s="69" t="s">
        <v>673</v>
      </c>
      <c r="B3" s="61">
        <v>30.0</v>
      </c>
      <c r="C3" s="61">
        <v>5.0</v>
      </c>
      <c r="D3" s="55" t="s">
        <v>674</v>
      </c>
      <c r="E3" s="61">
        <v>2.5</v>
      </c>
      <c r="F3" s="61">
        <v>0.5</v>
      </c>
      <c r="G3" s="55" t="s">
        <v>675</v>
      </c>
      <c r="H3" s="118">
        <f t="shared" ref="H3:H7" si="2">B3*pi()*E3</f>
        <v>235.619449</v>
      </c>
      <c r="I3" s="118">
        <f t="shared" ref="I3:I7" si="3">pi()*sqrt(sumsq(E3*C3,B3*F3))</f>
        <v>61.34155751</v>
      </c>
      <c r="J3" s="119">
        <f>average(0.16,0.15)</f>
        <v>0.155</v>
      </c>
      <c r="K3" s="119">
        <f>STDEV(0.16,0.15)</f>
        <v>0.007071067812</v>
      </c>
      <c r="L3" s="120">
        <v>0.0765</v>
      </c>
      <c r="M3" s="121">
        <v>0.005303300858899106</v>
      </c>
      <c r="N3" s="121">
        <f t="shared" ref="N3:O3" si="1">$L3*N$6/sum($N$6:$O$6)</f>
        <v>0.04284</v>
      </c>
      <c r="O3" s="121">
        <f t="shared" si="1"/>
        <v>0.03366</v>
      </c>
      <c r="P3" s="120">
        <f t="shared" ref="P3:P5" si="5">(J3-L3)/2</f>
        <v>0.03925</v>
      </c>
      <c r="Q3" s="120">
        <f t="shared" ref="Q3:Q5" si="6">P3</f>
        <v>0.03925</v>
      </c>
      <c r="R3" s="89">
        <f>$B3*pi()*(($E3/2+$J3)^2-($E3/2)^2)</f>
        <v>38.7853175</v>
      </c>
      <c r="S3" s="89">
        <f t="shared" ref="S3:S7" si="7">sqrt(sumsq($C3*pi()*(($E3/2+$J3)^2-($E3/2)^2), $B3*pi()*($F3*$J3), $B3*pi()*($E3*$K3 + 2*$J3*$K3)))</f>
        <v>9.931990101</v>
      </c>
      <c r="T3" s="89">
        <f t="shared" ref="T3:T7" si="8">$B3*pi()*(($E3/2+$L3)^2-($E3/2)^2)</f>
        <v>18.57644942</v>
      </c>
      <c r="U3" s="89">
        <f t="shared" ref="U3:U7" si="9">sqrt(sumsq($C3*pi()*(($E3/2+$L3)^2-($E3/2)^2), $B3*pi()*($F3*$L3), $B3*pi()*($E3*$M3 + 2*$L3*$M3)))</f>
        <v>4.933549343</v>
      </c>
      <c r="V3" s="89">
        <f t="shared" ref="V3:V7" si="10">$B3*pi()*(($E3/2+$N3)^2-($E3/2)^2)</f>
        <v>10.2669069</v>
      </c>
      <c r="W3" s="89">
        <f t="shared" ref="W3:W7" si="11">sqrt(sumsq($C3*pi()*(($E3/2+$N3)^2-($E3/2)^2), $B3*pi()*($F3*$N3)))</f>
        <v>2.64642041</v>
      </c>
      <c r="X3" s="89">
        <f t="shared" ref="X3:X7" si="12">$B3*pi()*(($E3/2 +N3+$O3)^2-($E3/2+N3)^2)</f>
        <v>8.309542514</v>
      </c>
      <c r="Y3" s="89">
        <f t="shared" ref="Y3:Y7" si="13">sqrt(sumsq($C3*pi()*(($E3/2+$N3+$O3)^2-($E3/2+$N3)^2), $B3*pi()*($F3*$O3)))</f>
        <v>2.105709603</v>
      </c>
    </row>
    <row r="4">
      <c r="A4" s="69" t="s">
        <v>676</v>
      </c>
      <c r="B4" s="89">
        <v>210.0</v>
      </c>
      <c r="C4" s="89">
        <v>25.0</v>
      </c>
      <c r="D4" s="55" t="s">
        <v>674</v>
      </c>
      <c r="E4" s="61">
        <v>2.5</v>
      </c>
      <c r="F4" s="61">
        <v>0.5</v>
      </c>
      <c r="G4" s="55" t="s">
        <v>675</v>
      </c>
      <c r="H4" s="118">
        <f t="shared" si="2"/>
        <v>1649.336143</v>
      </c>
      <c r="I4" s="118">
        <f t="shared" si="3"/>
        <v>383.8821834</v>
      </c>
      <c r="J4" s="101">
        <f>average(0.15)</f>
        <v>0.15</v>
      </c>
      <c r="K4" s="119">
        <f>STDEV(0.15, 0.09)</f>
        <v>0.04242640687</v>
      </c>
      <c r="L4" s="122">
        <v>0.0765</v>
      </c>
      <c r="M4" s="121">
        <v>0.005303300858899106</v>
      </c>
      <c r="N4" s="121">
        <f t="shared" ref="N4:O4" si="4">$L4*N$6/sum($N$6:$O$6)</f>
        <v>0.04284</v>
      </c>
      <c r="O4" s="121">
        <f t="shared" si="4"/>
        <v>0.03366</v>
      </c>
      <c r="P4" s="120">
        <f t="shared" si="5"/>
        <v>0.03675</v>
      </c>
      <c r="Q4" s="120">
        <f t="shared" si="6"/>
        <v>0.03675</v>
      </c>
      <c r="R4" s="89">
        <f t="shared" ref="R4:R7" si="15">$B4*pi()*(($E4/2+J4)^2-($E4/2)^2)</f>
        <v>262.2444468</v>
      </c>
      <c r="S4" s="89">
        <f t="shared" si="7"/>
        <v>97.80175068</v>
      </c>
      <c r="T4" s="89">
        <f t="shared" si="8"/>
        <v>130.0351459</v>
      </c>
      <c r="U4" s="89">
        <f t="shared" si="9"/>
        <v>31.02578333</v>
      </c>
      <c r="V4" s="89">
        <f t="shared" si="10"/>
        <v>71.86834833</v>
      </c>
      <c r="W4" s="89">
        <f t="shared" si="11"/>
        <v>16.51970308</v>
      </c>
      <c r="X4" s="89">
        <f t="shared" si="12"/>
        <v>58.1667976</v>
      </c>
      <c r="Y4" s="89">
        <f t="shared" si="13"/>
        <v>13.08565254</v>
      </c>
    </row>
    <row r="5">
      <c r="A5" s="69" t="s">
        <v>677</v>
      </c>
      <c r="B5" s="89">
        <v>310.0</v>
      </c>
      <c r="C5" s="61">
        <v>40.0</v>
      </c>
      <c r="D5" s="55" t="s">
        <v>674</v>
      </c>
      <c r="E5" s="61">
        <v>2.0</v>
      </c>
      <c r="F5" s="61">
        <v>0.3</v>
      </c>
      <c r="G5" s="55" t="s">
        <v>675</v>
      </c>
      <c r="H5" s="118">
        <f t="shared" si="2"/>
        <v>1947.787445</v>
      </c>
      <c r="I5" s="118">
        <f t="shared" si="3"/>
        <v>385.3928861</v>
      </c>
      <c r="J5" s="101">
        <f>average(0.16, 0.12)</f>
        <v>0.14</v>
      </c>
      <c r="K5" s="119">
        <f>STDEV(0.16, 0.12)</f>
        <v>0.02828427125</v>
      </c>
      <c r="L5" s="122">
        <v>0.069</v>
      </c>
      <c r="M5" s="121">
        <v>0.0021105794120443457</v>
      </c>
      <c r="N5" s="121">
        <f t="shared" ref="N5:O5" si="14">$L5*N$6/sum($N$6:$O$6)</f>
        <v>0.03864</v>
      </c>
      <c r="O5" s="121">
        <f t="shared" si="14"/>
        <v>0.03036</v>
      </c>
      <c r="P5" s="122">
        <f t="shared" si="5"/>
        <v>0.0355</v>
      </c>
      <c r="Q5" s="122">
        <f t="shared" si="6"/>
        <v>0.0355</v>
      </c>
      <c r="R5" s="89">
        <f t="shared" si="15"/>
        <v>291.7785593</v>
      </c>
      <c r="S5" s="89">
        <f t="shared" si="7"/>
        <v>83.8746198</v>
      </c>
      <c r="T5" s="89">
        <f t="shared" si="8"/>
        <v>139.0340417</v>
      </c>
      <c r="U5" s="89">
        <f t="shared" si="9"/>
        <v>27.34156709</v>
      </c>
      <c r="V5" s="89">
        <f t="shared" si="10"/>
        <v>76.71657852</v>
      </c>
      <c r="W5" s="89">
        <f t="shared" si="11"/>
        <v>15.01460945</v>
      </c>
      <c r="X5" s="89">
        <f t="shared" si="12"/>
        <v>62.31746322</v>
      </c>
      <c r="Y5" s="89">
        <f t="shared" si="13"/>
        <v>11.97238323</v>
      </c>
    </row>
    <row r="6">
      <c r="A6" s="69" t="s">
        <v>35</v>
      </c>
      <c r="B6" s="61">
        <v>150.0</v>
      </c>
      <c r="C6" s="61">
        <v>20.0</v>
      </c>
      <c r="D6" s="67" t="s">
        <v>678</v>
      </c>
      <c r="E6" s="61">
        <v>4.8</v>
      </c>
      <c r="F6" s="61">
        <v>1.0</v>
      </c>
      <c r="G6" s="55" t="s">
        <v>679</v>
      </c>
      <c r="H6" s="118">
        <f t="shared" si="2"/>
        <v>2261.946711</v>
      </c>
      <c r="I6" s="118">
        <f t="shared" si="3"/>
        <v>559.4858114</v>
      </c>
      <c r="J6" s="119">
        <f>average(0.15, 0.12)</f>
        <v>0.135</v>
      </c>
      <c r="K6" s="119">
        <f>STDEV(0.15, 0.12)</f>
        <v>0.02121320344</v>
      </c>
      <c r="L6" s="123">
        <v>0.05</v>
      </c>
      <c r="M6" s="121">
        <v>0.0023570226039551583</v>
      </c>
      <c r="N6" s="123">
        <v>0.028</v>
      </c>
      <c r="O6" s="123">
        <v>0.022</v>
      </c>
      <c r="P6" s="122">
        <f t="shared" ref="P6:P7" si="17">(J6-L6)*3/8</f>
        <v>0.031875</v>
      </c>
      <c r="Q6" s="122">
        <f t="shared" ref="Q6:Q7" si="18">(J6-L6)*5/8</f>
        <v>0.053125</v>
      </c>
      <c r="R6" s="89">
        <f t="shared" si="15"/>
        <v>313.9511348</v>
      </c>
      <c r="S6" s="89">
        <f t="shared" si="7"/>
        <v>91.47737979</v>
      </c>
      <c r="T6" s="89">
        <f t="shared" si="8"/>
        <v>114.2754328</v>
      </c>
      <c r="U6" s="89">
        <f t="shared" si="9"/>
        <v>28.58223517</v>
      </c>
      <c r="V6" s="89">
        <f t="shared" si="10"/>
        <v>63.70395919</v>
      </c>
      <c r="W6" s="89">
        <f t="shared" si="11"/>
        <v>15.69221145</v>
      </c>
      <c r="X6" s="89">
        <f t="shared" si="12"/>
        <v>50.57147358</v>
      </c>
      <c r="Y6" s="89">
        <f t="shared" si="13"/>
        <v>12.36714176</v>
      </c>
    </row>
    <row r="7">
      <c r="A7" s="69" t="s">
        <v>185</v>
      </c>
      <c r="B7" s="61">
        <v>15.0</v>
      </c>
      <c r="C7" s="61">
        <v>2.0</v>
      </c>
      <c r="D7" s="67" t="s">
        <v>678</v>
      </c>
      <c r="E7" s="61">
        <v>6.4</v>
      </c>
      <c r="F7" s="61">
        <v>1.0</v>
      </c>
      <c r="G7" s="55" t="s">
        <v>679</v>
      </c>
      <c r="H7" s="118">
        <f t="shared" si="2"/>
        <v>301.5928947</v>
      </c>
      <c r="I7" s="118">
        <f t="shared" si="3"/>
        <v>61.9491483</v>
      </c>
      <c r="J7" s="101">
        <v>0.21</v>
      </c>
      <c r="K7" s="124">
        <f t="array" ref="K7">AVERAGE(K3:K6/J3:J6)*J7</f>
        <v>0.03610046233</v>
      </c>
      <c r="L7" s="120">
        <v>0.05</v>
      </c>
      <c r="M7" s="121">
        <v>0.0023570226039551583</v>
      </c>
      <c r="N7" s="121">
        <f t="shared" ref="N7:O7" si="16">$L7*N$6/sum($N$6:$O$6)</f>
        <v>0.028</v>
      </c>
      <c r="O7" s="121">
        <f t="shared" si="16"/>
        <v>0.022</v>
      </c>
      <c r="P7" s="120">
        <f t="shared" si="17"/>
        <v>0.06</v>
      </c>
      <c r="Q7" s="125">
        <f t="shared" si="18"/>
        <v>0.1</v>
      </c>
      <c r="R7" s="89">
        <f t="shared" si="15"/>
        <v>65.41267144</v>
      </c>
      <c r="S7" s="89">
        <f t="shared" si="7"/>
        <v>17.5672643</v>
      </c>
      <c r="T7" s="89">
        <f t="shared" si="8"/>
        <v>15.19745446</v>
      </c>
      <c r="U7" s="89">
        <f t="shared" si="9"/>
        <v>3.190437764</v>
      </c>
      <c r="V7" s="89">
        <f t="shared" si="10"/>
        <v>8.481546182</v>
      </c>
      <c r="W7" s="89">
        <f t="shared" si="11"/>
        <v>1.737777765</v>
      </c>
      <c r="X7" s="89">
        <f t="shared" si="12"/>
        <v>6.715908279</v>
      </c>
      <c r="Y7" s="89">
        <f t="shared" si="13"/>
        <v>1.369904584</v>
      </c>
    </row>
    <row r="8">
      <c r="A8" s="5" t="s">
        <v>680</v>
      </c>
    </row>
    <row r="9">
      <c r="A9" s="77" t="s">
        <v>34</v>
      </c>
      <c r="H9" s="126">
        <f>sum(H3:H5)</f>
        <v>3832.743037</v>
      </c>
      <c r="I9" s="126">
        <f>sqrt(sumsq(I3:I5))</f>
        <v>547.4084344</v>
      </c>
      <c r="R9" s="126">
        <f>sum(R3:R5)</f>
        <v>592.8083236</v>
      </c>
      <c r="S9" s="126">
        <f>sqrt(sumsq(S3:S5))</f>
        <v>129.2237544</v>
      </c>
      <c r="T9" s="126">
        <f>sum(T3:T5)</f>
        <v>287.6456371</v>
      </c>
      <c r="U9" s="126">
        <f>sqrt(sumsq(U3:U5))</f>
        <v>41.64733402</v>
      </c>
      <c r="V9" s="126">
        <f>sum(V3:V5)</f>
        <v>158.8518337</v>
      </c>
      <c r="W9" s="126">
        <f>sqrt(sumsq(W3:W5))</f>
        <v>22.47982713</v>
      </c>
      <c r="X9" s="126">
        <f>sum(X3:X5)</f>
        <v>128.7938033</v>
      </c>
      <c r="Y9" s="126">
        <f>sqrt(sumsq(Y3:Y5))</f>
        <v>17.86074678</v>
      </c>
    </row>
    <row r="10">
      <c r="A10" s="77" t="s">
        <v>681</v>
      </c>
      <c r="H10" s="126">
        <f>sum(H6:H7)</f>
        <v>2563.539605</v>
      </c>
      <c r="I10" s="126">
        <f>SQRT(SUMSQ(I6:I7))</f>
        <v>562.9050277</v>
      </c>
      <c r="R10" s="126">
        <f>sum(R6:R7)</f>
        <v>379.3638063</v>
      </c>
      <c r="S10" s="126">
        <f>SQRT(SUMSQ(S6:S7))</f>
        <v>93.1489119</v>
      </c>
      <c r="T10" s="126">
        <f>sum(T6:T7)</f>
        <v>129.4728872</v>
      </c>
      <c r="U10" s="126">
        <f>SQRT(SUMSQ(U6:U7))</f>
        <v>28.75974722</v>
      </c>
      <c r="V10" s="126">
        <f>sum(V6:V7)</f>
        <v>72.18550537</v>
      </c>
      <c r="W10" s="126">
        <f>SQRT(SUMSQ(W6:W7))</f>
        <v>15.78814022</v>
      </c>
      <c r="X10" s="126">
        <f>sum(X6:X7)</f>
        <v>57.28738186</v>
      </c>
      <c r="Y10" s="126">
        <f>SQRT(SUMSQ(Y6:Y7))</f>
        <v>12.4427824</v>
      </c>
    </row>
    <row r="11">
      <c r="A11" s="5" t="s">
        <v>682</v>
      </c>
    </row>
    <row r="16">
      <c r="A16" s="55" t="s">
        <v>683</v>
      </c>
      <c r="B16" s="61">
        <v>20.0</v>
      </c>
      <c r="C16" s="55" t="s">
        <v>684</v>
      </c>
    </row>
    <row r="17">
      <c r="A17" s="55" t="s">
        <v>685</v>
      </c>
      <c r="B17" s="61">
        <v>1.04</v>
      </c>
      <c r="C17" s="64" t="s">
        <v>686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99" width="3.57"/>
  </cols>
  <sheetData>
    <row r="1" ht="14.25" customHeight="1">
      <c r="A1" s="127" t="s">
        <v>0</v>
      </c>
      <c r="B1" s="128" t="s">
        <v>687</v>
      </c>
      <c r="C1" s="128" t="s">
        <v>688</v>
      </c>
      <c r="D1" s="128" t="s">
        <v>689</v>
      </c>
      <c r="E1" s="128" t="s">
        <v>690</v>
      </c>
      <c r="F1" s="128" t="s">
        <v>691</v>
      </c>
      <c r="G1" s="128" t="s">
        <v>692</v>
      </c>
      <c r="H1" s="128" t="s">
        <v>693</v>
      </c>
      <c r="I1" s="128" t="s">
        <v>694</v>
      </c>
      <c r="J1" s="128" t="s">
        <v>695</v>
      </c>
      <c r="K1" s="128" t="s">
        <v>696</v>
      </c>
      <c r="L1" s="128" t="s">
        <v>697</v>
      </c>
      <c r="M1" s="128" t="s">
        <v>698</v>
      </c>
      <c r="N1" s="128" t="s">
        <v>699</v>
      </c>
      <c r="O1" s="128" t="s">
        <v>700</v>
      </c>
      <c r="P1" s="128" t="s">
        <v>701</v>
      </c>
      <c r="Q1" s="128" t="s">
        <v>702</v>
      </c>
      <c r="R1" s="128" t="s">
        <v>703</v>
      </c>
      <c r="S1" s="128" t="s">
        <v>704</v>
      </c>
      <c r="T1" s="128" t="s">
        <v>705</v>
      </c>
      <c r="U1" s="128" t="s">
        <v>706</v>
      </c>
      <c r="V1" s="128" t="s">
        <v>707</v>
      </c>
      <c r="W1" s="128" t="s">
        <v>708</v>
      </c>
      <c r="X1" s="128" t="s">
        <v>709</v>
      </c>
      <c r="Y1" s="128" t="s">
        <v>710</v>
      </c>
      <c r="Z1" s="128" t="s">
        <v>711</v>
      </c>
      <c r="AA1" s="128" t="s">
        <v>712</v>
      </c>
      <c r="AB1" s="128" t="s">
        <v>713</v>
      </c>
      <c r="AC1" s="128" t="s">
        <v>714</v>
      </c>
      <c r="AD1" s="128" t="s">
        <v>715</v>
      </c>
      <c r="AE1" s="128" t="s">
        <v>716</v>
      </c>
      <c r="AF1" s="128" t="s">
        <v>717</v>
      </c>
      <c r="AG1" s="128" t="s">
        <v>718</v>
      </c>
      <c r="AH1" s="128" t="s">
        <v>719</v>
      </c>
      <c r="AI1" s="128" t="s">
        <v>720</v>
      </c>
      <c r="AJ1" s="128" t="s">
        <v>721</v>
      </c>
      <c r="AK1" s="128" t="s">
        <v>722</v>
      </c>
      <c r="AL1" s="128" t="s">
        <v>723</v>
      </c>
      <c r="AM1" s="128" t="s">
        <v>724</v>
      </c>
      <c r="AN1" s="128" t="s">
        <v>725</v>
      </c>
      <c r="AO1" s="128" t="s">
        <v>726</v>
      </c>
      <c r="AP1" s="128" t="s">
        <v>727</v>
      </c>
      <c r="AQ1" s="128" t="s">
        <v>728</v>
      </c>
      <c r="AR1" s="128" t="s">
        <v>729</v>
      </c>
      <c r="AS1" s="128" t="s">
        <v>730</v>
      </c>
      <c r="AT1" s="128" t="s">
        <v>731</v>
      </c>
      <c r="AU1" s="128" t="s">
        <v>732</v>
      </c>
      <c r="AV1" s="128" t="s">
        <v>733</v>
      </c>
      <c r="AW1" s="128" t="s">
        <v>734</v>
      </c>
      <c r="AX1" s="128" t="s">
        <v>735</v>
      </c>
      <c r="AY1" s="128" t="s">
        <v>736</v>
      </c>
      <c r="AZ1" s="128" t="s">
        <v>737</v>
      </c>
      <c r="BA1" s="128" t="s">
        <v>738</v>
      </c>
      <c r="BB1" s="128" t="s">
        <v>739</v>
      </c>
      <c r="BC1" s="128" t="s">
        <v>740</v>
      </c>
      <c r="BD1" s="128" t="s">
        <v>741</v>
      </c>
      <c r="BE1" s="128" t="s">
        <v>742</v>
      </c>
      <c r="BF1" s="128" t="s">
        <v>743</v>
      </c>
      <c r="BG1" s="128" t="s">
        <v>744</v>
      </c>
      <c r="BH1" s="128" t="s">
        <v>745</v>
      </c>
      <c r="BI1" s="128" t="s">
        <v>746</v>
      </c>
      <c r="BJ1" s="128" t="s">
        <v>747</v>
      </c>
      <c r="BK1" s="128" t="s">
        <v>748</v>
      </c>
      <c r="BL1" s="128" t="s">
        <v>749</v>
      </c>
      <c r="BM1" s="128" t="s">
        <v>750</v>
      </c>
      <c r="BN1" s="128" t="s">
        <v>751</v>
      </c>
      <c r="BO1" s="128" t="s">
        <v>752</v>
      </c>
      <c r="BP1" s="128" t="s">
        <v>753</v>
      </c>
      <c r="BQ1" s="128" t="s">
        <v>754</v>
      </c>
      <c r="BR1" s="128" t="s">
        <v>755</v>
      </c>
      <c r="BS1" s="128" t="s">
        <v>756</v>
      </c>
      <c r="BT1" s="128" t="s">
        <v>757</v>
      </c>
      <c r="BU1" s="128" t="s">
        <v>758</v>
      </c>
      <c r="BV1" s="128" t="s">
        <v>759</v>
      </c>
      <c r="BW1" s="128" t="s">
        <v>760</v>
      </c>
      <c r="BX1" s="128" t="s">
        <v>761</v>
      </c>
      <c r="BY1" s="128" t="s">
        <v>762</v>
      </c>
      <c r="BZ1" s="128" t="s">
        <v>763</v>
      </c>
      <c r="CA1" s="128" t="s">
        <v>764</v>
      </c>
      <c r="CB1" s="128" t="s">
        <v>765</v>
      </c>
      <c r="CC1" s="128" t="s">
        <v>766</v>
      </c>
      <c r="CD1" s="128" t="s">
        <v>767</v>
      </c>
      <c r="CE1" s="128" t="s">
        <v>768</v>
      </c>
      <c r="CF1" s="128" t="s">
        <v>769</v>
      </c>
      <c r="CG1" s="128" t="s">
        <v>770</v>
      </c>
      <c r="CH1" s="128" t="s">
        <v>771</v>
      </c>
      <c r="CI1" s="128" t="s">
        <v>772</v>
      </c>
      <c r="CJ1" s="128" t="s">
        <v>773</v>
      </c>
      <c r="CK1" s="128" t="s">
        <v>774</v>
      </c>
      <c r="CL1" s="128" t="s">
        <v>775</v>
      </c>
      <c r="CM1" s="128" t="s">
        <v>776</v>
      </c>
      <c r="CN1" s="128" t="s">
        <v>777</v>
      </c>
      <c r="CO1" s="128" t="s">
        <v>778</v>
      </c>
      <c r="CP1" s="128" t="s">
        <v>779</v>
      </c>
      <c r="CQ1" s="128" t="s">
        <v>780</v>
      </c>
      <c r="CR1" s="128" t="s">
        <v>781</v>
      </c>
      <c r="CS1" s="128" t="s">
        <v>782</v>
      </c>
      <c r="CT1" s="128" t="s">
        <v>783</v>
      </c>
      <c r="CU1" s="128" t="s">
        <v>784</v>
      </c>
    </row>
    <row r="2" ht="14.25" customHeight="1">
      <c r="A2" s="129" t="s">
        <v>785</v>
      </c>
      <c r="B2" s="130">
        <v>0.420491</v>
      </c>
      <c r="C2" s="130">
        <v>0.415985</v>
      </c>
      <c r="D2" s="130">
        <v>0.247489</v>
      </c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0"/>
      <c r="BU2" s="130"/>
      <c r="BV2" s="130"/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0"/>
      <c r="CH2" s="130"/>
      <c r="CI2" s="130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</row>
    <row r="3" ht="14.25" customHeight="1">
      <c r="A3" s="129" t="s">
        <v>786</v>
      </c>
      <c r="B3" s="130"/>
      <c r="C3" s="130"/>
      <c r="D3" s="130"/>
      <c r="E3" s="130"/>
      <c r="F3" s="130"/>
      <c r="G3" s="130">
        <v>7.2E-5</v>
      </c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  <c r="CK3" s="130"/>
      <c r="CL3" s="130"/>
      <c r="CM3" s="130"/>
      <c r="CN3" s="130"/>
      <c r="CO3" s="130"/>
      <c r="CP3" s="130"/>
      <c r="CQ3" s="130"/>
      <c r="CR3" s="130"/>
      <c r="CS3" s="130"/>
      <c r="CT3" s="130"/>
      <c r="CU3" s="130"/>
    </row>
    <row r="4" ht="14.25" customHeight="1">
      <c r="A4" s="129" t="s">
        <v>787</v>
      </c>
      <c r="B4" s="130"/>
      <c r="C4" s="130"/>
      <c r="D4" s="130"/>
      <c r="E4" s="130"/>
      <c r="F4" s="130"/>
      <c r="G4" s="130">
        <v>0.065795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  <c r="CK4" s="130"/>
      <c r="CL4" s="130"/>
      <c r="CM4" s="130"/>
      <c r="CN4" s="130"/>
      <c r="CO4" s="130"/>
      <c r="CP4" s="130"/>
      <c r="CQ4" s="130"/>
      <c r="CR4" s="130"/>
      <c r="CS4" s="130"/>
      <c r="CT4" s="130"/>
      <c r="CU4" s="130"/>
    </row>
    <row r="5" ht="14.25" customHeight="1">
      <c r="A5" s="129" t="s">
        <v>788</v>
      </c>
      <c r="B5" s="130">
        <v>0.107281</v>
      </c>
      <c r="C5" s="130">
        <v>9.72E-4</v>
      </c>
      <c r="D5" s="130">
        <v>0.006672</v>
      </c>
      <c r="E5" s="130">
        <v>0.0</v>
      </c>
      <c r="F5" s="130">
        <v>0.0</v>
      </c>
      <c r="G5" s="130">
        <v>0.004536</v>
      </c>
      <c r="H5" s="130">
        <v>5.93E-4</v>
      </c>
      <c r="I5" s="130">
        <v>0.008075</v>
      </c>
      <c r="J5" s="130">
        <v>0.0</v>
      </c>
      <c r="K5" s="130">
        <v>0.0</v>
      </c>
      <c r="L5" s="130">
        <v>0.004407</v>
      </c>
      <c r="M5" s="130">
        <v>0.007731</v>
      </c>
      <c r="N5" s="130">
        <v>0.002657</v>
      </c>
      <c r="O5" s="130">
        <v>0.009076</v>
      </c>
      <c r="P5" s="130">
        <v>0.002027</v>
      </c>
      <c r="Q5" s="130">
        <v>0.044438</v>
      </c>
      <c r="R5" s="130">
        <v>0.0</v>
      </c>
      <c r="S5" s="130">
        <v>0.0</v>
      </c>
      <c r="T5" s="130">
        <v>0.031532</v>
      </c>
      <c r="U5" s="130">
        <v>0.003495</v>
      </c>
      <c r="V5" s="130">
        <v>0.005615</v>
      </c>
      <c r="W5" s="130">
        <v>0.00358</v>
      </c>
      <c r="X5" s="130">
        <v>0.009953</v>
      </c>
      <c r="Y5" s="130">
        <v>0.005381</v>
      </c>
      <c r="Z5" s="130">
        <v>0.0</v>
      </c>
      <c r="AA5" s="130">
        <v>0.010243</v>
      </c>
      <c r="AB5" s="130">
        <v>0.007189</v>
      </c>
      <c r="AC5" s="130">
        <v>0.003535</v>
      </c>
      <c r="AD5" s="130">
        <v>0.0</v>
      </c>
      <c r="AE5" s="130">
        <v>0.0</v>
      </c>
      <c r="AF5" s="130">
        <v>0.0</v>
      </c>
      <c r="AG5" s="130">
        <v>0.0</v>
      </c>
      <c r="AH5" s="130">
        <v>0.037105</v>
      </c>
      <c r="AI5" s="130">
        <v>0.076715</v>
      </c>
      <c r="AJ5" s="130">
        <v>0.0</v>
      </c>
      <c r="AK5" s="130">
        <v>0.027343</v>
      </c>
      <c r="AL5" s="130">
        <v>0.163664</v>
      </c>
      <c r="AM5" s="130">
        <v>0.0</v>
      </c>
      <c r="AN5" s="130">
        <v>0.011704</v>
      </c>
      <c r="AO5" s="130">
        <v>0.009928</v>
      </c>
      <c r="AP5" s="130">
        <v>0.0</v>
      </c>
      <c r="AQ5" s="130">
        <v>0.02745</v>
      </c>
      <c r="AR5" s="130">
        <v>0.003635</v>
      </c>
      <c r="AS5" s="130">
        <v>0.0</v>
      </c>
      <c r="AT5" s="130">
        <v>0.021861</v>
      </c>
      <c r="AU5" s="130">
        <v>0.0</v>
      </c>
      <c r="AV5" s="130">
        <v>0.007468</v>
      </c>
      <c r="AW5" s="130">
        <v>0.0</v>
      </c>
      <c r="AX5" s="130">
        <v>0.0</v>
      </c>
      <c r="AY5" s="130">
        <v>2.66E-4</v>
      </c>
      <c r="AZ5" s="130">
        <v>0.001792</v>
      </c>
      <c r="BA5" s="130">
        <v>0.001534</v>
      </c>
      <c r="BB5" s="130">
        <v>0.004001</v>
      </c>
      <c r="BC5" s="130">
        <v>0.009449</v>
      </c>
      <c r="BD5" s="130">
        <v>0.0</v>
      </c>
      <c r="BE5" s="130">
        <v>0.0</v>
      </c>
      <c r="BF5" s="130">
        <v>0.0</v>
      </c>
      <c r="BG5" s="130">
        <v>0.019167</v>
      </c>
      <c r="BH5" s="130">
        <v>0.005165</v>
      </c>
      <c r="BI5" s="130">
        <v>0.002859</v>
      </c>
      <c r="BJ5" s="130">
        <v>0.002096</v>
      </c>
      <c r="BK5" s="130">
        <v>0.0</v>
      </c>
      <c r="BL5" s="130">
        <v>0.007011</v>
      </c>
      <c r="BM5" s="130">
        <v>0.018836</v>
      </c>
      <c r="BN5" s="130">
        <v>0.011676</v>
      </c>
      <c r="BO5" s="130">
        <v>0.002629</v>
      </c>
      <c r="BP5" s="130">
        <v>0.077193</v>
      </c>
      <c r="BQ5" s="130">
        <v>0.037654</v>
      </c>
      <c r="BR5" s="130">
        <v>0.0</v>
      </c>
      <c r="BS5" s="130">
        <v>0.008638</v>
      </c>
      <c r="BT5" s="130">
        <v>0.002669</v>
      </c>
      <c r="BU5" s="130">
        <v>0.006921</v>
      </c>
      <c r="BV5" s="130">
        <v>0.0</v>
      </c>
      <c r="BW5" s="130">
        <v>0.007239</v>
      </c>
      <c r="BX5" s="130">
        <v>0.00265</v>
      </c>
      <c r="BY5" s="130">
        <v>0.014768</v>
      </c>
      <c r="BZ5" s="130">
        <v>0.0</v>
      </c>
      <c r="CA5" s="130">
        <v>0.0</v>
      </c>
      <c r="CB5" s="130">
        <v>0.009051</v>
      </c>
      <c r="CC5" s="130">
        <v>0.0429</v>
      </c>
      <c r="CD5" s="130">
        <v>0.038016</v>
      </c>
      <c r="CE5" s="130">
        <v>0.01434</v>
      </c>
      <c r="CF5" s="130">
        <v>0.045175</v>
      </c>
      <c r="CG5" s="130">
        <v>0.050133</v>
      </c>
      <c r="CH5" s="130">
        <v>0.004732</v>
      </c>
      <c r="CI5" s="130">
        <v>0.019476</v>
      </c>
      <c r="CJ5" s="130">
        <v>0.0</v>
      </c>
      <c r="CK5" s="130">
        <v>0.006273</v>
      </c>
      <c r="CL5" s="130">
        <v>0.004048</v>
      </c>
      <c r="CM5" s="130">
        <v>0.001673</v>
      </c>
      <c r="CN5" s="130">
        <v>0.0</v>
      </c>
      <c r="CO5" s="130">
        <v>6.54E-4</v>
      </c>
      <c r="CP5" s="130">
        <v>0.0</v>
      </c>
      <c r="CQ5" s="130">
        <v>0.004494</v>
      </c>
      <c r="CR5" s="130">
        <v>0.017128</v>
      </c>
      <c r="CS5" s="130">
        <v>0.0</v>
      </c>
      <c r="CT5" s="130">
        <v>0.0</v>
      </c>
      <c r="CU5" s="130">
        <v>9.6E-5</v>
      </c>
    </row>
    <row r="6" ht="14.25" customHeight="1">
      <c r="A6" s="129" t="s">
        <v>789</v>
      </c>
      <c r="B6" s="130">
        <v>0.001935</v>
      </c>
      <c r="C6" s="130">
        <v>0.167785</v>
      </c>
      <c r="D6" s="130">
        <v>0.349794</v>
      </c>
      <c r="E6" s="130">
        <v>0.0</v>
      </c>
      <c r="F6" s="130">
        <v>0.0</v>
      </c>
      <c r="G6" s="130">
        <v>0.0</v>
      </c>
      <c r="H6" s="130">
        <v>0.045857</v>
      </c>
      <c r="I6" s="130">
        <v>0.033499</v>
      </c>
      <c r="J6" s="130">
        <v>0.012639</v>
      </c>
      <c r="K6" s="130">
        <v>0.039647</v>
      </c>
      <c r="L6" s="130">
        <v>0.032382</v>
      </c>
      <c r="M6" s="130">
        <v>0.023252</v>
      </c>
      <c r="N6" s="130">
        <v>0.009382</v>
      </c>
      <c r="O6" s="130">
        <v>0.013051</v>
      </c>
      <c r="P6" s="130">
        <v>0.0</v>
      </c>
      <c r="Q6" s="130">
        <v>0.232508</v>
      </c>
      <c r="R6" s="130">
        <v>0.034556</v>
      </c>
      <c r="S6" s="130">
        <v>0.041277</v>
      </c>
      <c r="T6" s="130">
        <v>0.19487</v>
      </c>
      <c r="U6" s="130">
        <v>0.019278</v>
      </c>
      <c r="V6" s="130">
        <v>0.016597</v>
      </c>
      <c r="W6" s="130">
        <v>0.04945</v>
      </c>
      <c r="X6" s="130">
        <v>0.008764</v>
      </c>
      <c r="Y6" s="130">
        <v>0.0</v>
      </c>
      <c r="Z6" s="130">
        <v>0.017465</v>
      </c>
      <c r="AA6" s="130">
        <v>0.082709</v>
      </c>
      <c r="AB6" s="130">
        <v>0.0</v>
      </c>
      <c r="AC6" s="130">
        <v>0.0</v>
      </c>
      <c r="AD6" s="130">
        <v>0.032194</v>
      </c>
      <c r="AE6" s="130">
        <v>0.0</v>
      </c>
      <c r="AF6" s="130">
        <v>0.0</v>
      </c>
      <c r="AG6" s="130">
        <v>0.0</v>
      </c>
      <c r="AH6" s="130">
        <v>0.072853</v>
      </c>
      <c r="AI6" s="130">
        <v>0.005327</v>
      </c>
      <c r="AJ6" s="130">
        <v>0.0</v>
      </c>
      <c r="AK6" s="130">
        <v>0.0</v>
      </c>
      <c r="AL6" s="130">
        <v>0.001191</v>
      </c>
      <c r="AM6" s="130">
        <v>0.005128</v>
      </c>
      <c r="AN6" s="130">
        <v>0.0</v>
      </c>
      <c r="AO6" s="130">
        <v>0.007462</v>
      </c>
      <c r="AP6" s="130">
        <v>0.030474</v>
      </c>
      <c r="AQ6" s="130">
        <v>0.086517</v>
      </c>
      <c r="AR6" s="130">
        <v>0.01247</v>
      </c>
      <c r="AS6" s="130">
        <v>0.004283</v>
      </c>
      <c r="AT6" s="130">
        <v>0.055399</v>
      </c>
      <c r="AU6" s="130">
        <v>0.00109</v>
      </c>
      <c r="AV6" s="130">
        <v>0.038614</v>
      </c>
      <c r="AW6" s="130">
        <v>0.025858</v>
      </c>
      <c r="AX6" s="130">
        <v>0.008772</v>
      </c>
      <c r="AY6" s="130">
        <v>0.048186</v>
      </c>
      <c r="AZ6" s="130">
        <v>0.021041</v>
      </c>
      <c r="BA6" s="130">
        <v>0.021975</v>
      </c>
      <c r="BB6" s="130">
        <v>0.058312</v>
      </c>
      <c r="BC6" s="130">
        <v>0.47079</v>
      </c>
      <c r="BD6" s="130">
        <v>0.076548</v>
      </c>
      <c r="BE6" s="130">
        <v>0.052477</v>
      </c>
      <c r="BF6" s="130">
        <v>0.083524</v>
      </c>
      <c r="BG6" s="130">
        <v>0.019151</v>
      </c>
      <c r="BH6" s="130">
        <v>0.024539</v>
      </c>
      <c r="BI6" s="130">
        <v>0.011862</v>
      </c>
      <c r="BJ6" s="130">
        <v>0.012714</v>
      </c>
      <c r="BK6" s="130">
        <v>0.032677</v>
      </c>
      <c r="BL6" s="130">
        <v>0.004239</v>
      </c>
      <c r="BM6" s="130">
        <v>0.0</v>
      </c>
      <c r="BN6" s="130">
        <v>0.054692</v>
      </c>
      <c r="BO6" s="130">
        <v>0.002294</v>
      </c>
      <c r="BP6" s="130">
        <v>0.211293</v>
      </c>
      <c r="BQ6" s="130">
        <v>0.027107</v>
      </c>
      <c r="BR6" s="130">
        <v>0.03385</v>
      </c>
      <c r="BS6" s="130">
        <v>0.0</v>
      </c>
      <c r="BT6" s="130">
        <v>0.0</v>
      </c>
      <c r="BU6" s="130">
        <v>0.0</v>
      </c>
      <c r="BV6" s="130">
        <v>0.031661</v>
      </c>
      <c r="BW6" s="130">
        <v>0.0</v>
      </c>
      <c r="BX6" s="130">
        <v>0.0</v>
      </c>
      <c r="BY6" s="130">
        <v>0.070088</v>
      </c>
      <c r="BZ6" s="130">
        <v>0.013694</v>
      </c>
      <c r="CA6" s="130">
        <v>0.007979</v>
      </c>
      <c r="CB6" s="130">
        <v>0.032105</v>
      </c>
      <c r="CC6" s="130">
        <v>0.001873</v>
      </c>
      <c r="CD6" s="130">
        <v>0.012292</v>
      </c>
      <c r="CE6" s="130">
        <v>0.001729</v>
      </c>
      <c r="CF6" s="130">
        <v>0.08418</v>
      </c>
      <c r="CG6" s="130">
        <v>0.070894</v>
      </c>
      <c r="CH6" s="130">
        <v>0.044191</v>
      </c>
      <c r="CI6" s="130">
        <v>0.032796</v>
      </c>
      <c r="CJ6" s="130">
        <v>0.071441</v>
      </c>
      <c r="CK6" s="130">
        <v>0.006</v>
      </c>
      <c r="CL6" s="130">
        <v>0.005954</v>
      </c>
      <c r="CM6" s="130">
        <v>0.012189</v>
      </c>
      <c r="CN6" s="130">
        <v>0.004085</v>
      </c>
      <c r="CO6" s="130">
        <v>0.004647</v>
      </c>
      <c r="CP6" s="130">
        <v>0.023971</v>
      </c>
      <c r="CQ6" s="130">
        <v>0.01374</v>
      </c>
      <c r="CR6" s="130">
        <v>0.005815</v>
      </c>
      <c r="CS6" s="130">
        <v>0.004277</v>
      </c>
      <c r="CT6" s="130">
        <v>0.0</v>
      </c>
      <c r="CU6" s="130">
        <v>0.015463</v>
      </c>
    </row>
    <row r="7" ht="14.25" customHeight="1">
      <c r="A7" s="129" t="s">
        <v>790</v>
      </c>
      <c r="B7" s="130">
        <v>0.011987</v>
      </c>
      <c r="C7" s="130">
        <v>0.032696</v>
      </c>
      <c r="D7" s="130">
        <v>0.084398</v>
      </c>
      <c r="E7" s="130">
        <v>0.014496</v>
      </c>
      <c r="F7" s="130">
        <v>0.009112</v>
      </c>
      <c r="G7" s="130">
        <v>0.075811</v>
      </c>
      <c r="H7" s="130">
        <v>0.0</v>
      </c>
      <c r="I7" s="130">
        <v>0.037422</v>
      </c>
      <c r="J7" s="130">
        <v>0.064175</v>
      </c>
      <c r="K7" s="130">
        <v>0.0</v>
      </c>
      <c r="L7" s="130">
        <v>0.046212</v>
      </c>
      <c r="M7" s="130">
        <v>0.0</v>
      </c>
      <c r="N7" s="130">
        <v>0.0</v>
      </c>
      <c r="O7" s="130">
        <v>0.005629</v>
      </c>
      <c r="P7" s="130">
        <v>0.0</v>
      </c>
      <c r="Q7" s="130">
        <v>0.0</v>
      </c>
      <c r="R7" s="130">
        <v>0.117902</v>
      </c>
      <c r="S7" s="130">
        <v>0.092262</v>
      </c>
      <c r="T7" s="130">
        <v>0.043076</v>
      </c>
      <c r="U7" s="130">
        <v>0.0</v>
      </c>
      <c r="V7" s="130">
        <v>0.0</v>
      </c>
      <c r="W7" s="130">
        <v>0.001677</v>
      </c>
      <c r="X7" s="130">
        <v>0.0</v>
      </c>
      <c r="Y7" s="130">
        <v>0.0</v>
      </c>
      <c r="Z7" s="130">
        <v>0.0</v>
      </c>
      <c r="AA7" s="130">
        <v>0.058383</v>
      </c>
      <c r="AB7" s="130">
        <v>0.01239</v>
      </c>
      <c r="AC7" s="130">
        <v>0.001568</v>
      </c>
      <c r="AD7" s="130">
        <v>0.0</v>
      </c>
      <c r="AE7" s="130">
        <v>0.0</v>
      </c>
      <c r="AF7" s="130">
        <v>0.0</v>
      </c>
      <c r="AG7" s="130">
        <v>0.0</v>
      </c>
      <c r="AH7" s="130">
        <v>0.043966</v>
      </c>
      <c r="AI7" s="130">
        <v>0.144565</v>
      </c>
      <c r="AJ7" s="130">
        <v>0.034503</v>
      </c>
      <c r="AK7" s="130">
        <v>0.102208</v>
      </c>
      <c r="AL7" s="130">
        <v>0.072113</v>
      </c>
      <c r="AM7" s="130">
        <v>0.042265</v>
      </c>
      <c r="AN7" s="130">
        <v>0.035007</v>
      </c>
      <c r="AO7" s="130">
        <v>0.054507</v>
      </c>
      <c r="AP7" s="130">
        <v>0.21306</v>
      </c>
      <c r="AQ7" s="130">
        <v>0.054668</v>
      </c>
      <c r="AR7" s="130">
        <v>0.008969</v>
      </c>
      <c r="AS7" s="130">
        <v>0.023327</v>
      </c>
      <c r="AT7" s="130">
        <v>0.08215</v>
      </c>
      <c r="AU7" s="130">
        <v>0.018732</v>
      </c>
      <c r="AV7" s="130">
        <v>0.051719</v>
      </c>
      <c r="AW7" s="130">
        <v>0.115652</v>
      </c>
      <c r="AX7" s="130">
        <v>0.065382</v>
      </c>
      <c r="AY7" s="130">
        <v>0.055991</v>
      </c>
      <c r="AZ7" s="130">
        <v>0.046507</v>
      </c>
      <c r="BA7" s="130">
        <v>0.108222</v>
      </c>
      <c r="BB7" s="130">
        <v>0.111444</v>
      </c>
      <c r="BC7" s="130">
        <v>0.152242</v>
      </c>
      <c r="BD7" s="130">
        <v>0.163465</v>
      </c>
      <c r="BE7" s="130">
        <v>0.130745</v>
      </c>
      <c r="BF7" s="130">
        <v>0.149964</v>
      </c>
      <c r="BG7" s="130">
        <v>0.076972</v>
      </c>
      <c r="BH7" s="130">
        <v>0.061244</v>
      </c>
      <c r="BI7" s="130">
        <v>0.105651</v>
      </c>
      <c r="BJ7" s="130">
        <v>0.056357</v>
      </c>
      <c r="BK7" s="130">
        <v>0.119448</v>
      </c>
      <c r="BL7" s="130">
        <v>0.013799</v>
      </c>
      <c r="BM7" s="130">
        <v>0.03032</v>
      </c>
      <c r="BN7" s="130">
        <v>0.0</v>
      </c>
      <c r="BO7" s="130">
        <v>0.03635</v>
      </c>
      <c r="BP7" s="130">
        <v>0.104507</v>
      </c>
      <c r="BQ7" s="130">
        <v>0.1098</v>
      </c>
      <c r="BR7" s="130">
        <v>0.125449</v>
      </c>
      <c r="BS7" s="130">
        <v>0.0</v>
      </c>
      <c r="BT7" s="130">
        <v>0.0</v>
      </c>
      <c r="BU7" s="130">
        <v>0.0</v>
      </c>
      <c r="BV7" s="130">
        <v>0.072286</v>
      </c>
      <c r="BW7" s="130">
        <v>0.0</v>
      </c>
      <c r="BX7" s="130">
        <v>0.0</v>
      </c>
      <c r="BY7" s="130">
        <v>0.175014</v>
      </c>
      <c r="BZ7" s="130">
        <v>0.163544</v>
      </c>
      <c r="CA7" s="130">
        <v>0.144475</v>
      </c>
      <c r="CB7" s="130">
        <v>0.204966</v>
      </c>
      <c r="CC7" s="130">
        <v>0.105579</v>
      </c>
      <c r="CD7" s="130">
        <v>0.060199</v>
      </c>
      <c r="CE7" s="130">
        <v>0.020104</v>
      </c>
      <c r="CF7" s="130">
        <v>0.118018</v>
      </c>
      <c r="CG7" s="130">
        <v>0.079562</v>
      </c>
      <c r="CH7" s="130">
        <v>0.045088</v>
      </c>
      <c r="CI7" s="130">
        <v>0.060304</v>
      </c>
      <c r="CJ7" s="130">
        <v>0.084599</v>
      </c>
      <c r="CK7" s="130">
        <v>0.017447</v>
      </c>
      <c r="CL7" s="130">
        <v>0.031962</v>
      </c>
      <c r="CM7" s="130">
        <v>0.038138</v>
      </c>
      <c r="CN7" s="130">
        <v>0.156289</v>
      </c>
      <c r="CO7" s="130">
        <v>0.228514</v>
      </c>
      <c r="CP7" s="130">
        <v>0.06598</v>
      </c>
      <c r="CQ7" s="130">
        <v>0.055734</v>
      </c>
      <c r="CR7" s="130">
        <v>0.053714</v>
      </c>
      <c r="CS7" s="130">
        <v>0.045961</v>
      </c>
      <c r="CT7" s="130">
        <v>0.051958</v>
      </c>
      <c r="CU7" s="130">
        <v>0.07373</v>
      </c>
    </row>
    <row r="8" ht="14.25" customHeight="1">
      <c r="A8" s="129" t="s">
        <v>791</v>
      </c>
      <c r="B8" s="130">
        <v>0.013346</v>
      </c>
      <c r="C8" s="130">
        <v>0.0</v>
      </c>
      <c r="D8" s="130">
        <v>0.002719</v>
      </c>
      <c r="E8" s="130">
        <v>0.0</v>
      </c>
      <c r="F8" s="130">
        <v>0.0</v>
      </c>
      <c r="G8" s="130">
        <v>0.005077</v>
      </c>
      <c r="H8" s="130">
        <v>0.0</v>
      </c>
      <c r="I8" s="130">
        <v>0.0</v>
      </c>
      <c r="J8" s="130">
        <v>0.005102</v>
      </c>
      <c r="K8" s="130">
        <v>0.0</v>
      </c>
      <c r="L8" s="130">
        <v>0.0</v>
      </c>
      <c r="M8" s="130">
        <v>0.00682</v>
      </c>
      <c r="N8" s="130">
        <v>0.0</v>
      </c>
      <c r="O8" s="130">
        <v>0.0</v>
      </c>
      <c r="P8" s="130">
        <v>0.0</v>
      </c>
      <c r="Q8" s="130">
        <v>0.0</v>
      </c>
      <c r="R8" s="130">
        <v>0.0</v>
      </c>
      <c r="S8" s="130">
        <v>0.014792</v>
      </c>
      <c r="T8" s="130">
        <v>7.37E-4</v>
      </c>
      <c r="U8" s="130">
        <v>0.0</v>
      </c>
      <c r="V8" s="130">
        <v>0.0</v>
      </c>
      <c r="W8" s="130">
        <v>0.0</v>
      </c>
      <c r="X8" s="130">
        <v>0.0</v>
      </c>
      <c r="Y8" s="130">
        <v>0.004245</v>
      </c>
      <c r="Z8" s="130">
        <v>0.0</v>
      </c>
      <c r="AA8" s="130">
        <v>0.012543</v>
      </c>
      <c r="AB8" s="130">
        <v>0.007894</v>
      </c>
      <c r="AC8" s="130">
        <v>0.021819</v>
      </c>
      <c r="AD8" s="130">
        <v>0.005542</v>
      </c>
      <c r="AE8" s="130">
        <v>0.0</v>
      </c>
      <c r="AF8" s="130">
        <v>0.003054</v>
      </c>
      <c r="AG8" s="130">
        <v>0.002021</v>
      </c>
      <c r="AH8" s="130">
        <v>0.004621</v>
      </c>
      <c r="AI8" s="130">
        <v>0.004456</v>
      </c>
      <c r="AJ8" s="130">
        <v>0.0</v>
      </c>
      <c r="AK8" s="130">
        <v>0.0</v>
      </c>
      <c r="AL8" s="130">
        <v>3.49E-4</v>
      </c>
      <c r="AM8" s="130">
        <v>0.0</v>
      </c>
      <c r="AN8" s="130">
        <v>0.0</v>
      </c>
      <c r="AO8" s="130">
        <v>0.0</v>
      </c>
      <c r="AP8" s="130">
        <v>0.00621</v>
      </c>
      <c r="AQ8" s="130">
        <v>0.006775</v>
      </c>
      <c r="AR8" s="130">
        <v>0.0</v>
      </c>
      <c r="AS8" s="130">
        <v>0.0</v>
      </c>
      <c r="AT8" s="130">
        <v>0.006727</v>
      </c>
      <c r="AU8" s="130">
        <v>0.0</v>
      </c>
      <c r="AV8" s="130">
        <v>0.001054</v>
      </c>
      <c r="AW8" s="130">
        <v>0.0</v>
      </c>
      <c r="AX8" s="130">
        <v>0.030642</v>
      </c>
      <c r="AY8" s="130">
        <v>0.015033</v>
      </c>
      <c r="AZ8" s="130">
        <v>0.011353</v>
      </c>
      <c r="BA8" s="130">
        <v>0.0</v>
      </c>
      <c r="BB8" s="130">
        <v>0.017361</v>
      </c>
      <c r="BC8" s="130">
        <v>0.018051</v>
      </c>
      <c r="BD8" s="130">
        <v>0.021604</v>
      </c>
      <c r="BE8" s="130">
        <v>0.027768</v>
      </c>
      <c r="BF8" s="130">
        <v>0.007463</v>
      </c>
      <c r="BG8" s="130">
        <v>0.0</v>
      </c>
      <c r="BH8" s="130">
        <v>0.0</v>
      </c>
      <c r="BI8" s="130">
        <v>0.0</v>
      </c>
      <c r="BJ8" s="130">
        <v>0.0</v>
      </c>
      <c r="BK8" s="130">
        <v>0.0</v>
      </c>
      <c r="BL8" s="130">
        <v>0.0</v>
      </c>
      <c r="BM8" s="130">
        <v>0.001944</v>
      </c>
      <c r="BN8" s="130">
        <v>0.017798</v>
      </c>
      <c r="BO8" s="130">
        <v>0.009465</v>
      </c>
      <c r="BP8" s="130">
        <v>0.059214</v>
      </c>
      <c r="BQ8" s="130">
        <v>0.02107</v>
      </c>
      <c r="BR8" s="130">
        <v>0.0</v>
      </c>
      <c r="BS8" s="130">
        <v>0.0</v>
      </c>
      <c r="BT8" s="130">
        <v>0.0</v>
      </c>
      <c r="BU8" s="130">
        <v>0.0</v>
      </c>
      <c r="BV8" s="130">
        <v>3.0E-5</v>
      </c>
      <c r="BW8" s="130">
        <v>0.0</v>
      </c>
      <c r="BX8" s="130">
        <v>0.0</v>
      </c>
      <c r="BY8" s="130">
        <v>0.019141</v>
      </c>
      <c r="BZ8" s="130">
        <v>2.38E-4</v>
      </c>
      <c r="CA8" s="130">
        <v>0.004518</v>
      </c>
      <c r="CB8" s="130">
        <v>0.007259</v>
      </c>
      <c r="CC8" s="130">
        <v>0.015021</v>
      </c>
      <c r="CD8" s="130">
        <v>0.0</v>
      </c>
      <c r="CE8" s="130">
        <v>1.18E-4</v>
      </c>
      <c r="CF8" s="130">
        <v>0.028959</v>
      </c>
      <c r="CG8" s="130">
        <v>0.00878</v>
      </c>
      <c r="CH8" s="130">
        <v>0.048119</v>
      </c>
      <c r="CI8" s="130">
        <v>0.023165</v>
      </c>
      <c r="CJ8" s="130">
        <v>0.0</v>
      </c>
      <c r="CK8" s="130">
        <v>0.002191</v>
      </c>
      <c r="CL8" s="130">
        <v>0.001741</v>
      </c>
      <c r="CM8" s="130">
        <v>0.0</v>
      </c>
      <c r="CN8" s="130">
        <v>0.014247</v>
      </c>
      <c r="CO8" s="130">
        <v>0.006492</v>
      </c>
      <c r="CP8" s="130">
        <v>0.001738</v>
      </c>
      <c r="CQ8" s="130">
        <v>9.0E-4</v>
      </c>
      <c r="CR8" s="130">
        <v>0.003756</v>
      </c>
      <c r="CS8" s="130">
        <v>0.002843</v>
      </c>
      <c r="CT8" s="130">
        <v>0.00194</v>
      </c>
      <c r="CU8" s="130">
        <v>0.001491</v>
      </c>
    </row>
    <row r="9" ht="14.25" customHeight="1">
      <c r="A9" s="129" t="s">
        <v>792</v>
      </c>
      <c r="B9" s="130">
        <v>0.117096</v>
      </c>
      <c r="C9" s="130">
        <v>0.058827</v>
      </c>
      <c r="D9" s="130">
        <v>0.029513</v>
      </c>
      <c r="E9" s="130">
        <v>0.0</v>
      </c>
      <c r="F9" s="130">
        <v>0.0</v>
      </c>
      <c r="G9" s="130">
        <v>0.014539</v>
      </c>
      <c r="H9" s="130">
        <v>0.023313</v>
      </c>
      <c r="I9" s="130">
        <v>0.01706</v>
      </c>
      <c r="J9" s="130">
        <v>1.27E-4</v>
      </c>
      <c r="K9" s="130">
        <v>0.028595</v>
      </c>
      <c r="L9" s="130">
        <v>0.009605</v>
      </c>
      <c r="M9" s="130">
        <v>0.011821</v>
      </c>
      <c r="N9" s="130">
        <v>0.0</v>
      </c>
      <c r="O9" s="130">
        <v>0.0</v>
      </c>
      <c r="P9" s="130">
        <v>0.011046</v>
      </c>
      <c r="Q9" s="130">
        <v>0.04556</v>
      </c>
      <c r="R9" s="130">
        <v>0.016629</v>
      </c>
      <c r="S9" s="130">
        <v>0.024609</v>
      </c>
      <c r="T9" s="130">
        <v>0.045318</v>
      </c>
      <c r="U9" s="130">
        <v>0.015895</v>
      </c>
      <c r="V9" s="130">
        <v>0.00881</v>
      </c>
      <c r="W9" s="130">
        <v>0.0</v>
      </c>
      <c r="X9" s="130">
        <v>0.082245</v>
      </c>
      <c r="Y9" s="130">
        <v>0.008654</v>
      </c>
      <c r="Z9" s="130">
        <v>0.012163</v>
      </c>
      <c r="AA9" s="130">
        <v>0.033971</v>
      </c>
      <c r="AB9" s="130">
        <v>0.006971</v>
      </c>
      <c r="AC9" s="130">
        <v>0.0</v>
      </c>
      <c r="AD9" s="130">
        <v>0.0</v>
      </c>
      <c r="AE9" s="130">
        <v>0.0</v>
      </c>
      <c r="AF9" s="130">
        <v>0.0</v>
      </c>
      <c r="AG9" s="130">
        <v>0.0</v>
      </c>
      <c r="AH9" s="130">
        <v>0.0</v>
      </c>
      <c r="AI9" s="130">
        <v>0.165786</v>
      </c>
      <c r="AJ9" s="130">
        <v>0.064013</v>
      </c>
      <c r="AK9" s="130">
        <v>0.028839</v>
      </c>
      <c r="AL9" s="130">
        <v>0.177683</v>
      </c>
      <c r="AM9" s="130">
        <v>0.03065</v>
      </c>
      <c r="AN9" s="130">
        <v>0.162118</v>
      </c>
      <c r="AO9" s="130">
        <v>0.101257</v>
      </c>
      <c r="AP9" s="130">
        <v>0.038298</v>
      </c>
      <c r="AQ9" s="130">
        <v>0.055177</v>
      </c>
      <c r="AR9" s="130">
        <v>0.011066</v>
      </c>
      <c r="AS9" s="130">
        <v>0.012947</v>
      </c>
      <c r="AT9" s="130">
        <v>0.084495</v>
      </c>
      <c r="AU9" s="130">
        <v>0.098582</v>
      </c>
      <c r="AV9" s="130">
        <v>0.039916</v>
      </c>
      <c r="AW9" s="130">
        <v>0.058133</v>
      </c>
      <c r="AX9" s="130">
        <v>0.0</v>
      </c>
      <c r="AY9" s="130">
        <v>1.72E-4</v>
      </c>
      <c r="AZ9" s="130">
        <v>0.035161</v>
      </c>
      <c r="BA9" s="130">
        <v>0.102073</v>
      </c>
      <c r="BB9" s="130">
        <v>0.05833</v>
      </c>
      <c r="BC9" s="130">
        <v>0.037513</v>
      </c>
      <c r="BD9" s="130">
        <v>0.064381</v>
      </c>
      <c r="BE9" s="130">
        <v>0.064665</v>
      </c>
      <c r="BF9" s="130">
        <v>0.058706</v>
      </c>
      <c r="BG9" s="130">
        <v>0.0</v>
      </c>
      <c r="BH9" s="130">
        <v>0.008696</v>
      </c>
      <c r="BI9" s="130">
        <v>0.014132</v>
      </c>
      <c r="BJ9" s="130">
        <v>0.041388</v>
      </c>
      <c r="BK9" s="130">
        <v>0.038657</v>
      </c>
      <c r="BL9" s="130">
        <v>4.67E-4</v>
      </c>
      <c r="BM9" s="130">
        <v>0.048603</v>
      </c>
      <c r="BN9" s="130">
        <v>0.0</v>
      </c>
      <c r="BO9" s="130">
        <v>0.019327</v>
      </c>
      <c r="BP9" s="130">
        <v>0.043604</v>
      </c>
      <c r="BQ9" s="130">
        <v>0.015623</v>
      </c>
      <c r="BR9" s="130">
        <v>0.042763</v>
      </c>
      <c r="BS9" s="130">
        <v>0.0</v>
      </c>
      <c r="BT9" s="130">
        <v>0.0</v>
      </c>
      <c r="BU9" s="130">
        <v>0.0</v>
      </c>
      <c r="BV9" s="130">
        <v>0.0</v>
      </c>
      <c r="BW9" s="130">
        <v>0.0</v>
      </c>
      <c r="BX9" s="130">
        <v>0.0</v>
      </c>
      <c r="BY9" s="130">
        <v>0.034414</v>
      </c>
      <c r="BZ9" s="130">
        <v>0.039898</v>
      </c>
      <c r="CA9" s="130">
        <v>0.054676</v>
      </c>
      <c r="CB9" s="130">
        <v>0.054275</v>
      </c>
      <c r="CC9" s="130">
        <v>0.123596</v>
      </c>
      <c r="CD9" s="130">
        <v>0.207884</v>
      </c>
      <c r="CE9" s="130">
        <v>0.066891</v>
      </c>
      <c r="CF9" s="130">
        <v>0.049115</v>
      </c>
      <c r="CG9" s="130">
        <v>0.048688</v>
      </c>
      <c r="CH9" s="130">
        <v>0.0</v>
      </c>
      <c r="CI9" s="130">
        <v>0.0</v>
      </c>
      <c r="CJ9" s="130">
        <v>0.106674</v>
      </c>
      <c r="CK9" s="130">
        <v>0.078803</v>
      </c>
      <c r="CL9" s="130">
        <v>0.004255</v>
      </c>
      <c r="CM9" s="130">
        <v>0.053342</v>
      </c>
      <c r="CN9" s="130">
        <v>0.028891</v>
      </c>
      <c r="CO9" s="130">
        <v>0.006263</v>
      </c>
      <c r="CP9" s="130">
        <v>0.0</v>
      </c>
      <c r="CQ9" s="130">
        <v>0.0</v>
      </c>
      <c r="CR9" s="130">
        <v>0.048307</v>
      </c>
      <c r="CS9" s="130">
        <v>0.0</v>
      </c>
      <c r="CT9" s="130">
        <v>0.0</v>
      </c>
      <c r="CU9" s="130">
        <v>0.005297</v>
      </c>
    </row>
    <row r="10" ht="14.25" customHeight="1">
      <c r="A10" s="129" t="s">
        <v>793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>
        <v>0.025654</v>
      </c>
      <c r="X10" s="130">
        <v>0.00668</v>
      </c>
      <c r="Y10" s="130">
        <v>0.016831</v>
      </c>
      <c r="Z10" s="130">
        <v>0.0</v>
      </c>
      <c r="AA10" s="130">
        <v>0.34868</v>
      </c>
      <c r="AB10" s="130">
        <v>0.638575</v>
      </c>
      <c r="AC10" s="130">
        <v>0.62009</v>
      </c>
      <c r="AD10" s="130">
        <v>0.962264</v>
      </c>
      <c r="AE10" s="130">
        <v>1.0</v>
      </c>
      <c r="AF10" s="130">
        <v>0.992811</v>
      </c>
      <c r="AG10" s="130">
        <v>0.997979</v>
      </c>
      <c r="AH10" s="130">
        <v>0.029823</v>
      </c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30"/>
      <c r="CK10" s="130"/>
      <c r="CL10" s="130"/>
      <c r="CM10" s="130"/>
      <c r="CN10" s="130"/>
      <c r="CO10" s="130"/>
      <c r="CP10" s="130"/>
      <c r="CQ10" s="130"/>
      <c r="CR10" s="130"/>
      <c r="CS10" s="130"/>
      <c r="CT10" s="130"/>
      <c r="CU10" s="130"/>
    </row>
    <row r="11" ht="14.25" customHeight="1">
      <c r="A11" s="129" t="s">
        <v>794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>
        <v>0.016253</v>
      </c>
      <c r="X11" s="130">
        <v>0.0</v>
      </c>
      <c r="Y11" s="130">
        <v>0.930558</v>
      </c>
      <c r="Z11" s="130">
        <v>0.957892</v>
      </c>
      <c r="AA11" s="130">
        <v>0.375791</v>
      </c>
      <c r="AB11" s="130">
        <v>0.206542</v>
      </c>
      <c r="AC11" s="130">
        <v>0.212841</v>
      </c>
      <c r="AD11" s="130">
        <v>0.0</v>
      </c>
      <c r="AE11" s="130">
        <v>0.0</v>
      </c>
      <c r="AF11" s="130">
        <v>0.0</v>
      </c>
      <c r="AG11" s="130">
        <v>0.0</v>
      </c>
      <c r="AH11" s="130">
        <v>0.044789</v>
      </c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0"/>
      <c r="BQ11" s="130"/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  <c r="CE11" s="130"/>
      <c r="CF11" s="130"/>
      <c r="CG11" s="130"/>
      <c r="CH11" s="130"/>
      <c r="CI11" s="130"/>
      <c r="CJ11" s="130"/>
      <c r="CK11" s="130"/>
      <c r="CL11" s="130"/>
      <c r="CM11" s="130"/>
      <c r="CN11" s="130"/>
      <c r="CO11" s="130"/>
      <c r="CP11" s="130"/>
      <c r="CQ11" s="130"/>
      <c r="CR11" s="130"/>
      <c r="CS11" s="130"/>
      <c r="CT11" s="130"/>
      <c r="CU11" s="130"/>
    </row>
    <row r="12" ht="14.25" customHeight="1">
      <c r="A12" s="129" t="s">
        <v>795</v>
      </c>
      <c r="B12" s="130">
        <v>0.145554</v>
      </c>
      <c r="C12" s="130">
        <v>0.198212</v>
      </c>
      <c r="D12" s="130">
        <v>0.153054</v>
      </c>
      <c r="E12" s="130">
        <v>0.115508</v>
      </c>
      <c r="F12" s="130">
        <v>0.114157</v>
      </c>
      <c r="G12" s="130">
        <v>0.20434</v>
      </c>
      <c r="H12" s="130">
        <v>0.004317</v>
      </c>
      <c r="I12" s="130">
        <v>0.179091</v>
      </c>
      <c r="J12" s="130">
        <v>0.076239</v>
      </c>
      <c r="K12" s="130">
        <v>0.05179</v>
      </c>
      <c r="L12" s="130">
        <v>0.044725</v>
      </c>
      <c r="M12" s="130">
        <v>0.01234</v>
      </c>
      <c r="N12" s="130">
        <v>0.0</v>
      </c>
      <c r="O12" s="130">
        <v>0.009943</v>
      </c>
      <c r="P12" s="130">
        <v>0.0</v>
      </c>
      <c r="Q12" s="130">
        <v>0.0</v>
      </c>
      <c r="R12" s="130">
        <v>0.176683</v>
      </c>
      <c r="S12" s="130">
        <v>0.208455</v>
      </c>
      <c r="T12" s="130">
        <v>0.0</v>
      </c>
      <c r="U12" s="130">
        <v>0.085394</v>
      </c>
      <c r="V12" s="130">
        <v>0.0</v>
      </c>
      <c r="W12" s="130">
        <v>0.054055</v>
      </c>
      <c r="X12" s="130">
        <v>0.0</v>
      </c>
      <c r="Y12" s="130">
        <v>0.0</v>
      </c>
      <c r="Z12" s="130">
        <v>0.004842</v>
      </c>
      <c r="AA12" s="130">
        <v>0.00179</v>
      </c>
      <c r="AB12" s="130">
        <v>0.0</v>
      </c>
      <c r="AC12" s="130">
        <v>0.0</v>
      </c>
      <c r="AD12" s="130">
        <v>0.0</v>
      </c>
      <c r="AE12" s="130">
        <v>0.0</v>
      </c>
      <c r="AF12" s="130">
        <v>0.004135</v>
      </c>
      <c r="AG12" s="130">
        <v>0.0</v>
      </c>
      <c r="AH12" s="130">
        <v>0.046153</v>
      </c>
      <c r="AI12" s="130">
        <v>0.280682</v>
      </c>
      <c r="AJ12" s="130">
        <v>0.086096</v>
      </c>
      <c r="AK12" s="130">
        <v>0.00538</v>
      </c>
      <c r="AL12" s="130">
        <v>0.091824</v>
      </c>
      <c r="AM12" s="130">
        <v>0.034144</v>
      </c>
      <c r="AN12" s="130">
        <v>0.161984</v>
      </c>
      <c r="AO12" s="130">
        <v>0.162711</v>
      </c>
      <c r="AP12" s="130">
        <v>0.308329</v>
      </c>
      <c r="AQ12" s="130">
        <v>0.153023</v>
      </c>
      <c r="AR12" s="130">
        <v>0.0</v>
      </c>
      <c r="AS12" s="130">
        <v>0.0</v>
      </c>
      <c r="AT12" s="130">
        <v>0.121663</v>
      </c>
      <c r="AU12" s="130">
        <v>0.164179</v>
      </c>
      <c r="AV12" s="130">
        <v>0.132771</v>
      </c>
      <c r="AW12" s="130">
        <v>0.321192</v>
      </c>
      <c r="AX12" s="130">
        <v>0.450088</v>
      </c>
      <c r="AY12" s="130">
        <v>0.126715</v>
      </c>
      <c r="AZ12" s="130">
        <v>0.195788</v>
      </c>
      <c r="BA12" s="130">
        <v>0.209193</v>
      </c>
      <c r="BB12" s="130">
        <v>0.164187</v>
      </c>
      <c r="BC12" s="130">
        <v>0.203156</v>
      </c>
      <c r="BD12" s="130">
        <v>0.369434</v>
      </c>
      <c r="BE12" s="130">
        <v>0.385456</v>
      </c>
      <c r="BF12" s="130">
        <v>0.38451</v>
      </c>
      <c r="BG12" s="130">
        <v>0.248291</v>
      </c>
      <c r="BH12" s="130">
        <v>0.299665</v>
      </c>
      <c r="BI12" s="130">
        <v>0.239385</v>
      </c>
      <c r="BJ12" s="130">
        <v>0.056496</v>
      </c>
      <c r="BK12" s="130">
        <v>0.073283</v>
      </c>
      <c r="BL12" s="130">
        <v>0.06695</v>
      </c>
      <c r="BM12" s="130">
        <v>0.059464</v>
      </c>
      <c r="BN12" s="130">
        <v>0.017919</v>
      </c>
      <c r="BO12" s="130">
        <v>0.0</v>
      </c>
      <c r="BP12" s="130">
        <v>0.083248</v>
      </c>
      <c r="BQ12" s="130">
        <v>0.479379</v>
      </c>
      <c r="BR12" s="130">
        <v>0.218181</v>
      </c>
      <c r="BS12" s="130">
        <v>0.252443</v>
      </c>
      <c r="BT12" s="130">
        <v>0.082283</v>
      </c>
      <c r="BU12" s="130">
        <v>0.114783</v>
      </c>
      <c r="BV12" s="130">
        <v>0.349236</v>
      </c>
      <c r="BW12" s="130">
        <v>0.0</v>
      </c>
      <c r="BX12" s="130">
        <v>0.0</v>
      </c>
      <c r="BY12" s="130">
        <v>0.204708</v>
      </c>
      <c r="BZ12" s="130">
        <v>0.171748</v>
      </c>
      <c r="CA12" s="130">
        <v>0.195561</v>
      </c>
      <c r="CB12" s="130">
        <v>0.277576</v>
      </c>
      <c r="CC12" s="130">
        <v>0.261379</v>
      </c>
      <c r="CD12" s="130">
        <v>0.059931</v>
      </c>
      <c r="CE12" s="130">
        <v>0.034459</v>
      </c>
      <c r="CF12" s="130">
        <v>0.102261</v>
      </c>
      <c r="CG12" s="130">
        <v>0.151402</v>
      </c>
      <c r="CH12" s="130">
        <v>0.279197</v>
      </c>
      <c r="CI12" s="130">
        <v>0.259505</v>
      </c>
      <c r="CJ12" s="130">
        <v>0.229813</v>
      </c>
      <c r="CK12" s="130">
        <v>0.197066</v>
      </c>
      <c r="CL12" s="130">
        <v>0.186001</v>
      </c>
      <c r="CM12" s="130">
        <v>0.220383</v>
      </c>
      <c r="CN12" s="130">
        <v>0.403809</v>
      </c>
      <c r="CO12" s="130">
        <v>0.388226</v>
      </c>
      <c r="CP12" s="130">
        <v>0.452317</v>
      </c>
      <c r="CQ12" s="130">
        <v>0.401535</v>
      </c>
      <c r="CR12" s="130">
        <v>0.380926</v>
      </c>
      <c r="CS12" s="130">
        <v>0.446466</v>
      </c>
      <c r="CT12" s="130">
        <v>0.381328</v>
      </c>
      <c r="CU12" s="130">
        <v>0.392409</v>
      </c>
    </row>
    <row r="13" ht="14.25" customHeight="1">
      <c r="A13" s="129" t="s">
        <v>796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>
        <v>0.068588</v>
      </c>
      <c r="AZ13" s="130">
        <v>0.677894</v>
      </c>
      <c r="BA13" s="130">
        <v>0.557002</v>
      </c>
      <c r="BB13" s="130">
        <v>0.536527</v>
      </c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  <c r="CK13" s="130"/>
      <c r="CL13" s="130"/>
      <c r="CM13" s="130"/>
      <c r="CN13" s="130"/>
      <c r="CO13" s="130"/>
      <c r="CP13" s="130"/>
      <c r="CQ13" s="130"/>
      <c r="CR13" s="130"/>
      <c r="CS13" s="130"/>
      <c r="CT13" s="130"/>
      <c r="CU13" s="130"/>
    </row>
    <row r="14" ht="14.25" customHeight="1">
      <c r="A14" s="129" t="s">
        <v>797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>
        <v>0.09486</v>
      </c>
      <c r="BD14" s="130">
        <v>0.265074</v>
      </c>
      <c r="BE14" s="130">
        <v>0.232881</v>
      </c>
      <c r="BF14" s="130">
        <v>0.271217</v>
      </c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130"/>
      <c r="BV14" s="130"/>
      <c r="BW14" s="130"/>
      <c r="BX14" s="130"/>
      <c r="BY14" s="130"/>
      <c r="BZ14" s="130"/>
      <c r="CA14" s="130"/>
      <c r="CB14" s="130"/>
      <c r="CC14" s="130"/>
      <c r="CD14" s="130"/>
      <c r="CE14" s="130"/>
      <c r="CF14" s="130"/>
      <c r="CG14" s="130"/>
      <c r="CH14" s="130"/>
      <c r="CI14" s="130"/>
      <c r="CJ14" s="130"/>
      <c r="CK14" s="130"/>
      <c r="CL14" s="130"/>
      <c r="CM14" s="130"/>
      <c r="CN14" s="130"/>
      <c r="CO14" s="130"/>
      <c r="CP14" s="130"/>
      <c r="CQ14" s="130"/>
      <c r="CR14" s="130"/>
      <c r="CS14" s="130"/>
      <c r="CT14" s="130"/>
      <c r="CU14" s="130"/>
    </row>
    <row r="15" ht="14.25" customHeight="1">
      <c r="A15" s="129" t="s">
        <v>798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>
        <v>0.0</v>
      </c>
      <c r="BD15" s="130">
        <v>0.0</v>
      </c>
      <c r="BE15" s="130">
        <v>0.019043</v>
      </c>
      <c r="BF15" s="130">
        <v>0.0</v>
      </c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30"/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  <c r="CE15" s="130"/>
      <c r="CF15" s="130"/>
      <c r="CG15" s="130"/>
      <c r="CH15" s="130"/>
      <c r="CI15" s="130"/>
      <c r="CJ15" s="130"/>
      <c r="CK15" s="130"/>
      <c r="CL15" s="130"/>
      <c r="CM15" s="130"/>
      <c r="CN15" s="130"/>
      <c r="CO15" s="130"/>
      <c r="CP15" s="130"/>
      <c r="CQ15" s="130"/>
      <c r="CR15" s="130"/>
      <c r="CS15" s="130"/>
      <c r="CT15" s="130"/>
      <c r="CU15" s="130"/>
    </row>
    <row r="16" ht="14.25" customHeight="1">
      <c r="A16" s="129" t="s">
        <v>799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>
        <v>0.069349</v>
      </c>
      <c r="BH16" s="130">
        <v>0.019429</v>
      </c>
      <c r="BI16" s="130">
        <v>0.075165</v>
      </c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0"/>
      <c r="CS16" s="130"/>
      <c r="CT16" s="130"/>
      <c r="CU16" s="130"/>
    </row>
    <row r="17" ht="14.25" customHeight="1">
      <c r="A17" s="129" t="s">
        <v>800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>
        <v>0.048612</v>
      </c>
      <c r="BH17" s="130">
        <v>0.01849</v>
      </c>
      <c r="BI17" s="130">
        <v>0.0</v>
      </c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  <c r="CK17" s="130"/>
      <c r="CL17" s="130"/>
      <c r="CM17" s="130"/>
      <c r="CN17" s="130"/>
      <c r="CO17" s="130"/>
      <c r="CP17" s="130"/>
      <c r="CQ17" s="130"/>
      <c r="CR17" s="130"/>
      <c r="CS17" s="130"/>
      <c r="CT17" s="130"/>
      <c r="CU17" s="130"/>
    </row>
    <row r="18" ht="14.25" customHeight="1">
      <c r="A18" s="129" t="s">
        <v>801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>
        <v>0.0</v>
      </c>
      <c r="AJ18" s="130">
        <v>0.472172</v>
      </c>
      <c r="AK18" s="130">
        <v>0.42742</v>
      </c>
      <c r="AL18" s="130">
        <v>0.202561</v>
      </c>
      <c r="AM18" s="130">
        <v>0.766503</v>
      </c>
      <c r="AN18" s="130">
        <v>0.0</v>
      </c>
      <c r="AO18" s="130">
        <v>0.001912</v>
      </c>
      <c r="AP18" s="130">
        <v>0.014767</v>
      </c>
      <c r="AQ18" s="130">
        <v>0.009814</v>
      </c>
      <c r="AR18" s="130"/>
      <c r="AS18" s="130"/>
      <c r="AT18" s="130">
        <v>0.0</v>
      </c>
      <c r="AU18" s="130">
        <v>0.0</v>
      </c>
      <c r="AV18" s="130">
        <v>0.005916</v>
      </c>
      <c r="AW18" s="130">
        <v>0.007839</v>
      </c>
      <c r="AX18" s="130">
        <v>0.014331</v>
      </c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>
        <v>0.0</v>
      </c>
      <c r="CD18" s="130">
        <v>0.0</v>
      </c>
      <c r="CE18" s="130">
        <v>0.0</v>
      </c>
      <c r="CF18" s="130"/>
      <c r="CG18" s="130"/>
      <c r="CH18" s="130"/>
      <c r="CI18" s="130"/>
      <c r="CJ18" s="130">
        <v>0.006349</v>
      </c>
      <c r="CK18" s="130">
        <v>0.0</v>
      </c>
      <c r="CL18" s="130"/>
      <c r="CM18" s="130"/>
      <c r="CN18" s="130"/>
      <c r="CO18" s="130"/>
      <c r="CP18" s="130"/>
      <c r="CQ18" s="130"/>
      <c r="CR18" s="130"/>
      <c r="CS18" s="130"/>
      <c r="CT18" s="130"/>
      <c r="CU18" s="130"/>
    </row>
    <row r="19" ht="14.25" customHeight="1">
      <c r="A19" s="129" t="s">
        <v>802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>
        <v>0.0</v>
      </c>
      <c r="AJ19" s="130">
        <v>0.0</v>
      </c>
      <c r="AK19" s="130">
        <v>0.0</v>
      </c>
      <c r="AL19" s="130">
        <v>0.0</v>
      </c>
      <c r="AM19" s="130">
        <v>0.0</v>
      </c>
      <c r="AN19" s="130">
        <v>0.014464</v>
      </c>
      <c r="AO19" s="130">
        <v>0.012868</v>
      </c>
      <c r="AP19" s="130">
        <v>0.029887</v>
      </c>
      <c r="AQ19" s="130">
        <v>0.008097</v>
      </c>
      <c r="AR19" s="130"/>
      <c r="AS19" s="130"/>
      <c r="AT19" s="130">
        <v>0.359099</v>
      </c>
      <c r="AU19" s="130">
        <v>0.667432</v>
      </c>
      <c r="AV19" s="130">
        <v>0.605996</v>
      </c>
      <c r="AW19" s="130">
        <v>0.010087</v>
      </c>
      <c r="AX19" s="130">
        <v>0.018009</v>
      </c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>
        <v>0.018286</v>
      </c>
      <c r="CD19" s="130">
        <v>0.04896</v>
      </c>
      <c r="CE19" s="130">
        <v>0.020892</v>
      </c>
      <c r="CF19" s="130"/>
      <c r="CG19" s="130"/>
      <c r="CH19" s="130"/>
      <c r="CI19" s="130"/>
      <c r="CJ19" s="130">
        <v>0.358805</v>
      </c>
      <c r="CK19" s="130">
        <v>0.557731</v>
      </c>
      <c r="CL19" s="130"/>
      <c r="CM19" s="130"/>
      <c r="CN19" s="130"/>
      <c r="CO19" s="130"/>
      <c r="CP19" s="130"/>
      <c r="CQ19" s="130"/>
      <c r="CR19" s="130"/>
      <c r="CS19" s="130"/>
      <c r="CT19" s="130"/>
      <c r="CU19" s="130"/>
    </row>
    <row r="20" ht="14.25" customHeight="1">
      <c r="A20" s="129" t="s">
        <v>803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>
        <v>0.003191</v>
      </c>
      <c r="AJ20" s="130">
        <v>0.0</v>
      </c>
      <c r="AK20" s="130">
        <v>0.0</v>
      </c>
      <c r="AL20" s="130">
        <v>0.006749</v>
      </c>
      <c r="AM20" s="130">
        <v>0.00796</v>
      </c>
      <c r="AN20" s="130">
        <v>0.110126</v>
      </c>
      <c r="AO20" s="130">
        <v>0.002313</v>
      </c>
      <c r="AP20" s="130">
        <v>0.001969</v>
      </c>
      <c r="AQ20" s="130">
        <v>0.001681</v>
      </c>
      <c r="AR20" s="130"/>
      <c r="AS20" s="130"/>
      <c r="AT20" s="130">
        <v>0.101516</v>
      </c>
      <c r="AU20" s="130">
        <v>0.0</v>
      </c>
      <c r="AV20" s="130">
        <v>0.0</v>
      </c>
      <c r="AW20" s="130">
        <v>0.006787</v>
      </c>
      <c r="AX20" s="130">
        <v>0.0</v>
      </c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>
        <v>0.232353</v>
      </c>
      <c r="CD20" s="130">
        <v>0.516767</v>
      </c>
      <c r="CE20" s="130">
        <v>0.820159</v>
      </c>
      <c r="CF20" s="130"/>
      <c r="CG20" s="130"/>
      <c r="CH20" s="130"/>
      <c r="CI20" s="130"/>
      <c r="CJ20" s="130">
        <v>0.0</v>
      </c>
      <c r="CK20" s="130">
        <v>0.0</v>
      </c>
      <c r="CL20" s="130"/>
      <c r="CM20" s="130"/>
      <c r="CN20" s="130"/>
      <c r="CO20" s="130"/>
      <c r="CP20" s="130"/>
      <c r="CQ20" s="130"/>
      <c r="CR20" s="130"/>
      <c r="CS20" s="130"/>
      <c r="CT20" s="130"/>
      <c r="CU20" s="130"/>
    </row>
    <row r="21" ht="14.25" customHeight="1">
      <c r="A21" s="129" t="s">
        <v>804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>
        <v>0.317087</v>
      </c>
      <c r="AJ21" s="130"/>
      <c r="AK21" s="130"/>
      <c r="AL21" s="130"/>
      <c r="AM21" s="130"/>
      <c r="AN21" s="130">
        <v>0.335655</v>
      </c>
      <c r="AO21" s="130">
        <v>0.470659</v>
      </c>
      <c r="AP21" s="130">
        <v>0.041577</v>
      </c>
      <c r="AQ21" s="130">
        <v>0.537434</v>
      </c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  <c r="CK21" s="130"/>
      <c r="CL21" s="130"/>
      <c r="CM21" s="130"/>
      <c r="CN21" s="130"/>
      <c r="CO21" s="130"/>
      <c r="CP21" s="130"/>
      <c r="CQ21" s="130"/>
      <c r="CR21" s="130"/>
      <c r="CS21" s="130"/>
      <c r="CT21" s="130"/>
      <c r="CU21" s="130"/>
    </row>
    <row r="22" ht="14.25" customHeight="1">
      <c r="A22" s="129" t="s">
        <v>805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>
        <v>0.481792</v>
      </c>
      <c r="BP22" s="130">
        <v>0.1138</v>
      </c>
      <c r="BQ22" s="130">
        <v>0.050983</v>
      </c>
      <c r="BR22" s="130"/>
      <c r="BS22" s="130"/>
      <c r="BT22" s="130"/>
      <c r="BU22" s="130"/>
      <c r="BV22" s="130"/>
      <c r="BW22" s="130"/>
      <c r="BX22" s="130"/>
      <c r="BY22" s="130">
        <v>0.267658</v>
      </c>
      <c r="BZ22" s="130">
        <v>0.435575</v>
      </c>
      <c r="CA22" s="130">
        <v>0.442662</v>
      </c>
      <c r="CB22" s="130">
        <v>0.414768</v>
      </c>
      <c r="CC22" s="130"/>
      <c r="CD22" s="130"/>
      <c r="CE22" s="130"/>
      <c r="CF22" s="130"/>
      <c r="CG22" s="130"/>
      <c r="CH22" s="130"/>
      <c r="CI22" s="130"/>
      <c r="CJ22" s="130"/>
      <c r="CK22" s="130"/>
      <c r="CL22" s="130"/>
      <c r="CM22" s="130"/>
      <c r="CN22" s="130"/>
      <c r="CO22" s="130"/>
      <c r="CP22" s="130"/>
      <c r="CQ22" s="130"/>
      <c r="CR22" s="130"/>
      <c r="CS22" s="130"/>
      <c r="CT22" s="130"/>
      <c r="CU22" s="130"/>
    </row>
    <row r="23" ht="14.25" customHeight="1">
      <c r="A23" s="129" t="s">
        <v>806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  <c r="CK23" s="130"/>
      <c r="CL23" s="130"/>
      <c r="CM23" s="130"/>
      <c r="CN23" s="130"/>
      <c r="CO23" s="130"/>
      <c r="CP23" s="130"/>
      <c r="CQ23" s="130"/>
      <c r="CR23" s="130"/>
      <c r="CS23" s="130"/>
      <c r="CT23" s="130"/>
      <c r="CU23" s="130"/>
    </row>
    <row r="24" ht="14.25" customHeight="1">
      <c r="A24" s="129" t="s">
        <v>807</v>
      </c>
      <c r="B24" s="130"/>
      <c r="C24" s="130"/>
      <c r="D24" s="130"/>
      <c r="E24" s="130">
        <v>1.72E-4</v>
      </c>
      <c r="F24" s="130">
        <v>0.0</v>
      </c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>
        <v>0.234455</v>
      </c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  <c r="CK24" s="130"/>
      <c r="CL24" s="130"/>
      <c r="CM24" s="130"/>
      <c r="CN24" s="130"/>
      <c r="CO24" s="130"/>
      <c r="CP24" s="130">
        <v>0.260382</v>
      </c>
      <c r="CQ24" s="130">
        <v>0.312071</v>
      </c>
      <c r="CR24" s="130">
        <v>0.341915</v>
      </c>
      <c r="CS24" s="130">
        <v>0.222896</v>
      </c>
      <c r="CT24" s="130">
        <v>0.384399</v>
      </c>
      <c r="CU24" s="130">
        <v>0.214104</v>
      </c>
    </row>
    <row r="25" ht="14.25" customHeight="1">
      <c r="A25" s="129" t="s">
        <v>808</v>
      </c>
      <c r="B25" s="130"/>
      <c r="C25" s="130"/>
      <c r="D25" s="130"/>
      <c r="E25" s="130">
        <v>0.082305</v>
      </c>
      <c r="F25" s="130">
        <v>0.139049</v>
      </c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>
        <v>0.312333</v>
      </c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  <c r="CK25" s="130"/>
      <c r="CL25" s="130"/>
      <c r="CM25" s="130"/>
      <c r="CN25" s="130"/>
      <c r="CO25" s="130"/>
      <c r="CP25" s="130">
        <v>0.195613</v>
      </c>
      <c r="CQ25" s="130">
        <v>0.211526</v>
      </c>
      <c r="CR25" s="130">
        <v>0.148439</v>
      </c>
      <c r="CS25" s="130">
        <v>0.137964</v>
      </c>
      <c r="CT25" s="130">
        <v>0.180376</v>
      </c>
      <c r="CU25" s="130">
        <v>0.209442</v>
      </c>
    </row>
    <row r="26" ht="14.25" customHeight="1">
      <c r="A26" s="129" t="s">
        <v>809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  <c r="CK26" s="130"/>
      <c r="CL26" s="130"/>
      <c r="CM26" s="130"/>
      <c r="CN26" s="130"/>
      <c r="CO26" s="130"/>
      <c r="CP26" s="130"/>
      <c r="CQ26" s="130"/>
      <c r="CR26" s="130"/>
      <c r="CS26" s="130"/>
      <c r="CT26" s="130"/>
      <c r="CU26" s="130"/>
    </row>
    <row r="27" ht="14.25" customHeight="1">
      <c r="A27" s="129" t="s">
        <v>810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1">
        <v>0.738918</v>
      </c>
      <c r="BT27" s="131">
        <v>0.912551</v>
      </c>
      <c r="BU27" s="131">
        <v>0.878296</v>
      </c>
      <c r="BV27" s="131"/>
      <c r="BW27" s="131">
        <v>0.854071</v>
      </c>
      <c r="BX27" s="131">
        <v>0.893538</v>
      </c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>
        <v>0.035106</v>
      </c>
      <c r="CO27" s="130">
        <v>0.028743</v>
      </c>
      <c r="CP27" s="130"/>
      <c r="CQ27" s="130"/>
      <c r="CR27" s="130"/>
      <c r="CS27" s="130"/>
      <c r="CT27" s="130"/>
      <c r="CU27" s="130"/>
    </row>
    <row r="28" ht="14.25" customHeight="1">
      <c r="A28" s="129" t="s">
        <v>811</v>
      </c>
      <c r="B28" s="130">
        <v>0.18231</v>
      </c>
      <c r="C28" s="130">
        <v>0.125524</v>
      </c>
      <c r="D28" s="130">
        <v>0.126362</v>
      </c>
      <c r="E28" s="130">
        <v>0.787519</v>
      </c>
      <c r="F28" s="130">
        <v>0.737682</v>
      </c>
      <c r="G28" s="130">
        <v>0.62983</v>
      </c>
      <c r="H28" s="130">
        <v>0.064719</v>
      </c>
      <c r="I28" s="130">
        <v>0.011811</v>
      </c>
      <c r="J28" s="130">
        <v>0.001412</v>
      </c>
      <c r="K28" s="130">
        <v>0.14933</v>
      </c>
      <c r="L28" s="130">
        <v>0.054971</v>
      </c>
      <c r="M28" s="130">
        <v>0.196857</v>
      </c>
      <c r="N28" s="130">
        <v>0.013454</v>
      </c>
      <c r="O28" s="130">
        <v>0.017265</v>
      </c>
      <c r="P28" s="130">
        <v>0.0</v>
      </c>
      <c r="Q28" s="130">
        <v>0.144263</v>
      </c>
      <c r="R28" s="130">
        <v>0.088565</v>
      </c>
      <c r="S28" s="130">
        <v>0.002791</v>
      </c>
      <c r="T28" s="130">
        <v>0.038415</v>
      </c>
      <c r="U28" s="130">
        <v>0.0</v>
      </c>
      <c r="V28" s="130">
        <v>0.0</v>
      </c>
      <c r="W28" s="130">
        <v>0.84933</v>
      </c>
      <c r="X28" s="130">
        <v>0.892357</v>
      </c>
      <c r="Y28" s="130">
        <v>0.034332</v>
      </c>
      <c r="Z28" s="130">
        <v>0.007639</v>
      </c>
      <c r="AA28" s="130">
        <v>0.07589</v>
      </c>
      <c r="AB28" s="130">
        <v>0.12044</v>
      </c>
      <c r="AC28" s="130">
        <v>0.140147</v>
      </c>
      <c r="AD28" s="130">
        <v>0.0</v>
      </c>
      <c r="AE28" s="130">
        <v>0.0</v>
      </c>
      <c r="AF28" s="130">
        <v>0.0</v>
      </c>
      <c r="AG28" s="130">
        <v>0.0</v>
      </c>
      <c r="AH28" s="130">
        <v>0.720692</v>
      </c>
      <c r="AI28" s="130">
        <v>0.002193</v>
      </c>
      <c r="AJ28" s="130">
        <v>0.077267</v>
      </c>
      <c r="AK28" s="130">
        <v>0.016779</v>
      </c>
      <c r="AL28" s="130">
        <v>0.012999</v>
      </c>
      <c r="AM28" s="130">
        <v>0.0</v>
      </c>
      <c r="AN28" s="130">
        <v>0.168943</v>
      </c>
      <c r="AO28" s="130">
        <v>0.176384</v>
      </c>
      <c r="AP28" s="130">
        <v>0.315428</v>
      </c>
      <c r="AQ28" s="130">
        <v>0.059365</v>
      </c>
      <c r="AR28" s="130">
        <v>0.963861</v>
      </c>
      <c r="AS28" s="130">
        <v>0.959444</v>
      </c>
      <c r="AT28" s="130">
        <v>0.16709</v>
      </c>
      <c r="AU28" s="130">
        <v>0.049985</v>
      </c>
      <c r="AV28" s="130">
        <v>0.116546</v>
      </c>
      <c r="AW28" s="130">
        <v>0.454452</v>
      </c>
      <c r="AX28" s="130">
        <v>0.412775</v>
      </c>
      <c r="AY28" s="130">
        <v>0.68505</v>
      </c>
      <c r="AZ28" s="130">
        <v>0.010464</v>
      </c>
      <c r="BA28" s="130">
        <v>0.0</v>
      </c>
      <c r="BB28" s="130">
        <v>0.049838</v>
      </c>
      <c r="BC28" s="130">
        <v>0.013939</v>
      </c>
      <c r="BD28" s="130">
        <v>0.039493</v>
      </c>
      <c r="BE28" s="130">
        <v>0.086964</v>
      </c>
      <c r="BF28" s="130">
        <v>0.044617</v>
      </c>
      <c r="BG28" s="130">
        <v>0.518459</v>
      </c>
      <c r="BH28" s="130">
        <v>0.562773</v>
      </c>
      <c r="BI28" s="130">
        <v>0.550947</v>
      </c>
      <c r="BJ28" s="130">
        <v>0.081149</v>
      </c>
      <c r="BK28" s="130">
        <v>0.022555</v>
      </c>
      <c r="BL28" s="130">
        <v>0.012544</v>
      </c>
      <c r="BM28" s="130">
        <v>0.084954</v>
      </c>
      <c r="BN28" s="130">
        <v>0.0</v>
      </c>
      <c r="BO28" s="130">
        <v>0.448144</v>
      </c>
      <c r="BP28" s="130">
        <v>0.307142</v>
      </c>
      <c r="BQ28" s="130">
        <v>0.258385</v>
      </c>
      <c r="BR28" s="130">
        <v>0.579758</v>
      </c>
      <c r="BS28" s="130">
        <v>0.0</v>
      </c>
      <c r="BT28" s="130">
        <v>0.002497</v>
      </c>
      <c r="BU28" s="130">
        <v>0.0</v>
      </c>
      <c r="BV28" s="130">
        <v>0.0</v>
      </c>
      <c r="BW28" s="130">
        <v>0.13869</v>
      </c>
      <c r="BX28" s="130">
        <v>0.103812</v>
      </c>
      <c r="BY28" s="130">
        <v>0.21421</v>
      </c>
      <c r="BZ28" s="130">
        <v>0.175304</v>
      </c>
      <c r="CA28" s="130">
        <v>0.150128</v>
      </c>
      <c r="CB28" s="130">
        <v>0.0</v>
      </c>
      <c r="CC28" s="130">
        <v>0.199014</v>
      </c>
      <c r="CD28" s="130">
        <v>0.055951</v>
      </c>
      <c r="CE28" s="130">
        <v>0.021309</v>
      </c>
      <c r="CF28" s="130">
        <v>0.572293</v>
      </c>
      <c r="CG28" s="130">
        <v>0.59054</v>
      </c>
      <c r="CH28" s="130">
        <v>0.578673</v>
      </c>
      <c r="CI28" s="130">
        <v>0.604755</v>
      </c>
      <c r="CJ28" s="130">
        <v>0.142319</v>
      </c>
      <c r="CK28" s="130">
        <v>0.134491</v>
      </c>
      <c r="CL28" s="130">
        <v>0.068838</v>
      </c>
      <c r="CM28" s="130">
        <v>0.08969</v>
      </c>
      <c r="CN28" s="130">
        <v>0.357574</v>
      </c>
      <c r="CO28" s="130">
        <v>0.33646</v>
      </c>
      <c r="CP28" s="130">
        <v>0.0</v>
      </c>
      <c r="CQ28" s="130">
        <v>0.0</v>
      </c>
      <c r="CR28" s="130">
        <v>0.0</v>
      </c>
      <c r="CS28" s="130">
        <v>0.139594</v>
      </c>
      <c r="CT28" s="130">
        <v>0.0</v>
      </c>
      <c r="CU28" s="130">
        <v>0.087968</v>
      </c>
    </row>
    <row r="29" ht="14.25" customHeight="1">
      <c r="A29" s="129" t="s">
        <v>812</v>
      </c>
      <c r="B29" s="130"/>
      <c r="C29" s="130"/>
      <c r="D29" s="130"/>
      <c r="E29" s="130"/>
      <c r="F29" s="130"/>
      <c r="G29" s="130"/>
      <c r="H29" s="130">
        <v>0.584414</v>
      </c>
      <c r="I29" s="130">
        <v>0.571594</v>
      </c>
      <c r="J29" s="130">
        <v>0.07061</v>
      </c>
      <c r="K29" s="130">
        <v>0.558583</v>
      </c>
      <c r="L29" s="130">
        <v>0.578028</v>
      </c>
      <c r="M29" s="130">
        <v>0.554664</v>
      </c>
      <c r="N29" s="130">
        <v>0.974508</v>
      </c>
      <c r="O29" s="130">
        <v>0.521987</v>
      </c>
      <c r="P29" s="130">
        <v>0.561757</v>
      </c>
      <c r="Q29" s="130">
        <v>0.415778</v>
      </c>
      <c r="R29" s="130">
        <v>0.167028</v>
      </c>
      <c r="S29" s="130">
        <v>0.434812</v>
      </c>
      <c r="T29" s="130">
        <v>0.44548</v>
      </c>
      <c r="U29" s="130">
        <v>0.597009</v>
      </c>
      <c r="V29" s="130">
        <v>0.496257</v>
      </c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</row>
    <row r="30" ht="14.25" customHeight="1">
      <c r="A30" s="129" t="s">
        <v>813</v>
      </c>
      <c r="B30" s="130"/>
      <c r="C30" s="130"/>
      <c r="D30" s="130"/>
      <c r="E30" s="130"/>
      <c r="F30" s="130"/>
      <c r="G30" s="130"/>
      <c r="H30" s="130">
        <v>0.276786</v>
      </c>
      <c r="I30" s="130">
        <v>0.14145</v>
      </c>
      <c r="J30" s="130">
        <v>0.769698</v>
      </c>
      <c r="K30" s="130">
        <v>0.172055</v>
      </c>
      <c r="L30" s="130">
        <v>0.22967</v>
      </c>
      <c r="M30" s="130">
        <v>0.186515</v>
      </c>
      <c r="N30" s="130">
        <v>0.0</v>
      </c>
      <c r="O30" s="130">
        <v>0.423049</v>
      </c>
      <c r="P30" s="130">
        <v>0.42517</v>
      </c>
      <c r="Q30" s="130">
        <v>0.117454</v>
      </c>
      <c r="R30" s="130">
        <v>0.398639</v>
      </c>
      <c r="S30" s="130">
        <v>0.181003</v>
      </c>
      <c r="T30" s="130">
        <v>0.200573</v>
      </c>
      <c r="U30" s="130">
        <v>0.27893</v>
      </c>
      <c r="V30" s="130">
        <v>0.472721</v>
      </c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</row>
    <row r="31" ht="14.25" customHeight="1">
      <c r="A31" s="129" t="s">
        <v>814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>
        <v>0.697202</v>
      </c>
      <c r="CM31" s="130">
        <v>0.584586</v>
      </c>
      <c r="CN31" s="130"/>
      <c r="CO31" s="130"/>
      <c r="CP31" s="130"/>
      <c r="CQ31" s="130"/>
      <c r="CR31" s="130"/>
      <c r="CS31" s="130"/>
      <c r="CT31" s="130"/>
      <c r="CU31" s="130"/>
    </row>
    <row r="32" ht="14.25" customHeight="1">
      <c r="A32" s="129" t="s">
        <v>815</v>
      </c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>
        <v>0.535326</v>
      </c>
      <c r="BK32" s="130">
        <v>0.474956</v>
      </c>
      <c r="BL32" s="130">
        <v>0.603154</v>
      </c>
      <c r="BM32" s="130">
        <v>0.507268</v>
      </c>
      <c r="BN32" s="130">
        <v>0.066253</v>
      </c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</row>
    <row r="33" ht="14.25" customHeight="1">
      <c r="A33" s="129" t="s">
        <v>816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>
        <v>0.0</v>
      </c>
      <c r="BK33" s="130">
        <v>0.0</v>
      </c>
      <c r="BL33" s="130">
        <v>0.002769</v>
      </c>
      <c r="BM33" s="130">
        <v>0.012439</v>
      </c>
      <c r="BN33" s="130">
        <v>0.298467</v>
      </c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</row>
    <row r="34" ht="14.25" customHeight="1">
      <c r="A34" s="129" t="s">
        <v>817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>
        <v>0.0</v>
      </c>
      <c r="BK34" s="130">
        <v>0.0</v>
      </c>
      <c r="BL34" s="130">
        <v>0.019409</v>
      </c>
      <c r="BM34" s="130">
        <v>0.006424</v>
      </c>
      <c r="BN34" s="130">
        <v>0.504011</v>
      </c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  <c r="CK34" s="130"/>
      <c r="CL34" s="130"/>
      <c r="CM34" s="130"/>
      <c r="CN34" s="130"/>
      <c r="CO34" s="130"/>
      <c r="CP34" s="130"/>
      <c r="CQ34" s="130"/>
      <c r="CR34" s="130"/>
      <c r="CS34" s="130"/>
      <c r="CT34" s="130"/>
      <c r="CU34" s="130"/>
    </row>
    <row r="35" ht="14.25" customHeight="1">
      <c r="A35" s="129" t="s">
        <v>818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>
        <v>0.0</v>
      </c>
      <c r="BK35" s="130">
        <v>0.0</v>
      </c>
      <c r="BL35" s="130">
        <v>0.012453</v>
      </c>
      <c r="BM35" s="130">
        <v>0.0</v>
      </c>
      <c r="BN35" s="130">
        <v>0.021035</v>
      </c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  <c r="CK35" s="130"/>
      <c r="CL35" s="130"/>
      <c r="CM35" s="130"/>
      <c r="CN35" s="130"/>
      <c r="CO35" s="130"/>
      <c r="CP35" s="130"/>
      <c r="CQ35" s="130"/>
      <c r="CR35" s="130"/>
      <c r="CS35" s="130"/>
      <c r="CT35" s="130"/>
      <c r="CU35" s="130"/>
    </row>
    <row r="36" ht="14.25" customHeight="1">
      <c r="A36" s="129" t="s">
        <v>819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>
        <v>0.214474</v>
      </c>
      <c r="BK36" s="130">
        <v>0.238426</v>
      </c>
      <c r="BL36" s="130">
        <v>0.257206</v>
      </c>
      <c r="BM36" s="130">
        <v>0.229749</v>
      </c>
      <c r="BN36" s="130">
        <v>0.008149</v>
      </c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CH36" s="130"/>
      <c r="CI36" s="130"/>
      <c r="CJ36" s="130"/>
      <c r="CK36" s="130"/>
      <c r="CL36" s="130"/>
      <c r="CM36" s="130"/>
      <c r="CN36" s="130"/>
      <c r="CO36" s="130"/>
      <c r="CP36" s="130"/>
      <c r="CQ36" s="130"/>
      <c r="CR36" s="130"/>
      <c r="CS36" s="130"/>
      <c r="CT36" s="130"/>
      <c r="CU36" s="130"/>
    </row>
    <row r="37" ht="14.25" customHeight="1">
      <c r="A37" s="129" t="s">
        <v>820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>
        <v>0.265948</v>
      </c>
      <c r="AK37" s="130">
        <v>0.392031</v>
      </c>
      <c r="AL37" s="130">
        <v>0.270867</v>
      </c>
      <c r="AM37" s="130">
        <v>0.113351</v>
      </c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  <c r="CL37" s="130"/>
      <c r="CM37" s="130"/>
      <c r="CN37" s="130"/>
      <c r="CO37" s="130"/>
      <c r="CP37" s="130"/>
      <c r="CQ37" s="130"/>
      <c r="CR37" s="130"/>
      <c r="CS37" s="130"/>
      <c r="CT37" s="130"/>
      <c r="CU37" s="130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19.43"/>
    <col customWidth="1" min="5" max="5" width="10.71"/>
    <col customWidth="1" min="6" max="6" width="11.57"/>
    <col customWidth="1" min="7" max="26" width="8.71"/>
  </cols>
  <sheetData>
    <row r="1" ht="14.25" customHeight="1">
      <c r="A1" s="5" t="s">
        <v>0</v>
      </c>
      <c r="B1" s="5" t="s">
        <v>821</v>
      </c>
      <c r="C1" s="5" t="s">
        <v>822</v>
      </c>
      <c r="D1" s="5" t="s">
        <v>823</v>
      </c>
      <c r="E1" s="5" t="s">
        <v>824</v>
      </c>
      <c r="F1" s="5" t="s">
        <v>825</v>
      </c>
      <c r="G1" s="5" t="s">
        <v>826</v>
      </c>
      <c r="H1" s="5" t="s">
        <v>2</v>
      </c>
    </row>
    <row r="2" ht="14.25" customHeight="1">
      <c r="A2" s="5" t="s">
        <v>79</v>
      </c>
      <c r="B2" s="5" t="s">
        <v>79</v>
      </c>
      <c r="C2" s="5" t="s">
        <v>812</v>
      </c>
      <c r="D2" s="129" t="s">
        <v>812</v>
      </c>
      <c r="E2" s="5">
        <v>7.7E10</v>
      </c>
      <c r="F2" s="19">
        <v>1.1E10</v>
      </c>
      <c r="G2" s="5" t="s">
        <v>209</v>
      </c>
    </row>
    <row r="3" ht="14.25" customHeight="1">
      <c r="A3" s="5" t="s">
        <v>77</v>
      </c>
      <c r="B3" s="5" t="s">
        <v>827</v>
      </c>
      <c r="C3" s="5" t="s">
        <v>785</v>
      </c>
      <c r="D3" s="129" t="s">
        <v>785</v>
      </c>
      <c r="E3" s="5">
        <v>3.4E10</v>
      </c>
      <c r="F3" s="19">
        <v>5.0E9</v>
      </c>
      <c r="G3" s="5" t="s">
        <v>209</v>
      </c>
      <c r="J3" s="129"/>
    </row>
    <row r="4" ht="14.25" customHeight="1">
      <c r="A4" s="5" t="s">
        <v>35</v>
      </c>
      <c r="B4" s="5" t="s">
        <v>35</v>
      </c>
      <c r="C4" s="5" t="s">
        <v>828</v>
      </c>
      <c r="D4" s="129" t="s">
        <v>801</v>
      </c>
      <c r="E4" s="5">
        <v>6.0E10</v>
      </c>
      <c r="F4" s="19">
        <v>2.0E10</v>
      </c>
      <c r="G4" s="5" t="s">
        <v>209</v>
      </c>
      <c r="J4" s="129"/>
    </row>
    <row r="5" ht="14.25" customHeight="1">
      <c r="A5" s="5" t="s">
        <v>29</v>
      </c>
      <c r="B5" s="5" t="s">
        <v>829</v>
      </c>
      <c r="C5" s="5" t="s">
        <v>828</v>
      </c>
      <c r="D5" s="129" t="s">
        <v>802</v>
      </c>
      <c r="E5" s="16">
        <v>1.74E10</v>
      </c>
      <c r="F5" s="19">
        <v>4.0E9</v>
      </c>
      <c r="G5" s="5" t="s">
        <v>209</v>
      </c>
      <c r="J5" s="129"/>
    </row>
    <row r="6" ht="14.25" customHeight="1">
      <c r="A6" s="5" t="s">
        <v>25</v>
      </c>
      <c r="B6" s="5" t="s">
        <v>830</v>
      </c>
      <c r="C6" s="5" t="s">
        <v>831</v>
      </c>
      <c r="D6" s="129" t="s">
        <v>796</v>
      </c>
      <c r="E6" s="16">
        <v>2.8E11</v>
      </c>
      <c r="F6" s="19">
        <v>5.0E10</v>
      </c>
      <c r="G6" s="5" t="s">
        <v>832</v>
      </c>
      <c r="J6" s="129"/>
    </row>
    <row r="7" ht="14.25" customHeight="1">
      <c r="A7" s="5" t="s">
        <v>37</v>
      </c>
      <c r="B7" s="5" t="s">
        <v>833</v>
      </c>
      <c r="C7" s="5" t="s">
        <v>834</v>
      </c>
      <c r="D7" s="129" t="s">
        <v>797</v>
      </c>
      <c r="E7" s="16">
        <v>1.09E11</v>
      </c>
      <c r="F7" s="19">
        <v>1.853E10</v>
      </c>
      <c r="G7" s="5" t="s">
        <v>209</v>
      </c>
      <c r="J7" s="129"/>
    </row>
    <row r="8" ht="14.25" customHeight="1">
      <c r="A8" s="5" t="s">
        <v>835</v>
      </c>
      <c r="B8" s="5" t="s">
        <v>47</v>
      </c>
      <c r="C8" s="5" t="s">
        <v>836</v>
      </c>
      <c r="D8" s="129" t="s">
        <v>806</v>
      </c>
      <c r="E8" s="5">
        <v>1.2E11</v>
      </c>
      <c r="F8" s="19">
        <v>3.0E10</v>
      </c>
      <c r="G8" s="5" t="s">
        <v>209</v>
      </c>
      <c r="J8" s="129"/>
    </row>
    <row r="9" ht="14.25" customHeight="1">
      <c r="A9" s="5" t="s">
        <v>46</v>
      </c>
      <c r="B9" s="5" t="s">
        <v>46</v>
      </c>
      <c r="C9" s="5" t="s">
        <v>837</v>
      </c>
      <c r="D9" s="129" t="s">
        <v>805</v>
      </c>
      <c r="E9" s="5">
        <v>3.8E10</v>
      </c>
      <c r="F9" s="19">
        <v>1.6E10</v>
      </c>
      <c r="G9" s="5" t="s">
        <v>209</v>
      </c>
      <c r="J9" s="129"/>
    </row>
    <row r="10" ht="14.25" customHeight="1">
      <c r="A10" s="5" t="s">
        <v>45</v>
      </c>
      <c r="B10" s="5" t="s">
        <v>45</v>
      </c>
      <c r="C10" s="5" t="s">
        <v>838</v>
      </c>
      <c r="D10" s="129" t="s">
        <v>817</v>
      </c>
      <c r="E10" s="19">
        <f>1.55*10^9</f>
        <v>1550000000</v>
      </c>
      <c r="F10" s="19">
        <f>0.26*10^9</f>
        <v>260000000</v>
      </c>
      <c r="G10" s="5" t="s">
        <v>839</v>
      </c>
      <c r="J10" s="129"/>
    </row>
    <row r="11" ht="14.25" customHeight="1">
      <c r="A11" s="5" t="s">
        <v>840</v>
      </c>
      <c r="B11" s="5" t="s">
        <v>841</v>
      </c>
      <c r="C11" s="5" t="s">
        <v>842</v>
      </c>
      <c r="D11" s="129" t="s">
        <v>810</v>
      </c>
      <c r="E11" s="5">
        <f>19800/30000*10^12</f>
        <v>660000000000</v>
      </c>
      <c r="F11" s="19">
        <f>SQRT(SUMSQ(10000/30000,2500/19800))*E11</f>
        <v>235253999848</v>
      </c>
      <c r="G11" s="5" t="s">
        <v>209</v>
      </c>
      <c r="H11" s="5" t="s">
        <v>843</v>
      </c>
      <c r="J11" s="129"/>
    </row>
    <row r="12" ht="14.25" customHeight="1">
      <c r="A12" s="5" t="s">
        <v>34</v>
      </c>
      <c r="B12" s="5" t="s">
        <v>844</v>
      </c>
      <c r="C12" s="5" t="s">
        <v>828</v>
      </c>
      <c r="D12" s="129" t="s">
        <v>803</v>
      </c>
      <c r="E12" s="5">
        <v>1.2E11</v>
      </c>
      <c r="F12" s="19">
        <v>2.0E10</v>
      </c>
      <c r="G12" s="5" t="s">
        <v>209</v>
      </c>
      <c r="J12" s="129"/>
    </row>
    <row r="13" ht="14.25" customHeight="1">
      <c r="A13" s="5" t="s">
        <v>74</v>
      </c>
      <c r="B13" s="5" t="s">
        <v>845</v>
      </c>
      <c r="C13" s="5" t="s">
        <v>846</v>
      </c>
      <c r="D13" s="129" t="s">
        <v>807</v>
      </c>
      <c r="E13" s="19">
        <v>3.2E9</v>
      </c>
      <c r="F13" s="19">
        <v>1.4E8</v>
      </c>
      <c r="G13" s="5" t="s">
        <v>209</v>
      </c>
      <c r="J13" s="129"/>
    </row>
    <row r="14" ht="14.25" customHeight="1">
      <c r="J14" s="129"/>
    </row>
    <row r="15" ht="14.25" customHeight="1">
      <c r="J15" s="129"/>
    </row>
    <row r="16" ht="14.25" customHeight="1">
      <c r="J16" s="129"/>
    </row>
    <row r="17" ht="14.25" customHeight="1">
      <c r="J17" s="129"/>
    </row>
    <row r="18" ht="14.25" customHeight="1">
      <c r="J18" s="129"/>
    </row>
    <row r="19" ht="14.25" customHeight="1">
      <c r="J19" s="129"/>
    </row>
    <row r="20" ht="14.25" customHeight="1">
      <c r="C20" s="132"/>
      <c r="D20" s="132"/>
      <c r="E20" s="132"/>
      <c r="H20" s="132"/>
      <c r="I20" s="132"/>
      <c r="J20" s="129"/>
      <c r="M20" s="132"/>
    </row>
    <row r="21" ht="14.25" customHeight="1">
      <c r="J21" s="129"/>
    </row>
    <row r="22" ht="14.25" customHeight="1">
      <c r="J22" s="129"/>
    </row>
    <row r="23" ht="14.25" customHeight="1">
      <c r="J23" s="129"/>
    </row>
    <row r="24" ht="14.25" customHeight="1">
      <c r="J24" s="129"/>
    </row>
    <row r="25" ht="14.25" customHeight="1">
      <c r="J25" s="129"/>
    </row>
    <row r="26" ht="14.25" customHeight="1">
      <c r="J26" s="129"/>
    </row>
    <row r="27" ht="14.25" customHeight="1">
      <c r="J27" s="129"/>
    </row>
    <row r="28" ht="14.25" customHeight="1">
      <c r="J28" s="129"/>
    </row>
    <row r="29" ht="14.25" customHeight="1">
      <c r="J29" s="129"/>
    </row>
    <row r="30" ht="14.25" customHeight="1">
      <c r="J30" s="129"/>
    </row>
    <row r="31" ht="14.25" customHeight="1">
      <c r="J31" s="129"/>
    </row>
    <row r="32" ht="14.25" customHeight="1">
      <c r="J32" s="129"/>
    </row>
    <row r="33" ht="14.25" customHeight="1">
      <c r="J33" s="129"/>
    </row>
    <row r="34" ht="14.25" customHeight="1">
      <c r="J34" s="129"/>
    </row>
    <row r="35" ht="14.25" customHeight="1">
      <c r="J35" s="129"/>
    </row>
    <row r="36" ht="14.25" customHeight="1">
      <c r="J36" s="129"/>
    </row>
    <row r="37" ht="14.25" customHeight="1">
      <c r="J37" s="129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7.43"/>
    <col customWidth="1" min="3" max="3" width="7.86"/>
    <col customWidth="1" min="4" max="5" width="9.86"/>
    <col customWidth="1" min="6" max="6" width="19.86"/>
    <col customWidth="1" min="7" max="7" width="28.43"/>
    <col customWidth="1" min="8" max="9" width="13.29"/>
    <col customWidth="1" min="10" max="10" width="12.0"/>
    <col customWidth="1" min="11" max="11" width="11.71"/>
    <col customWidth="1" min="12" max="12" width="12.14"/>
    <col customWidth="1" min="13" max="13" width="13.29"/>
    <col customWidth="1" min="14" max="16" width="12.14"/>
    <col customWidth="1" min="17" max="26" width="8.71"/>
  </cols>
  <sheetData>
    <row r="1" ht="14.25" customHeight="1">
      <c r="A1" s="5" t="s">
        <v>542</v>
      </c>
      <c r="B1" s="5" t="s">
        <v>847</v>
      </c>
      <c r="C1" s="5" t="s">
        <v>102</v>
      </c>
      <c r="D1" s="5" t="s">
        <v>0</v>
      </c>
      <c r="E1" s="5" t="s">
        <v>104</v>
      </c>
      <c r="F1" s="5" t="s">
        <v>848</v>
      </c>
      <c r="G1" s="5" t="s">
        <v>106</v>
      </c>
      <c r="H1" s="5" t="s">
        <v>849</v>
      </c>
      <c r="I1" s="5" t="s">
        <v>850</v>
      </c>
      <c r="J1" s="5" t="s">
        <v>851</v>
      </c>
      <c r="K1" s="5" t="s">
        <v>852</v>
      </c>
      <c r="L1" s="5" t="s">
        <v>853</v>
      </c>
      <c r="M1" s="5" t="s">
        <v>854</v>
      </c>
      <c r="N1" s="5" t="s">
        <v>855</v>
      </c>
      <c r="O1" s="5" t="s">
        <v>856</v>
      </c>
      <c r="P1" s="5" t="s">
        <v>857</v>
      </c>
      <c r="Q1" s="5" t="s">
        <v>2</v>
      </c>
    </row>
    <row r="2" ht="14.25" customHeight="1">
      <c r="A2" s="5" t="s">
        <v>858</v>
      </c>
      <c r="B2" s="5" t="s">
        <v>859</v>
      </c>
      <c r="C2" s="5" t="s">
        <v>859</v>
      </c>
      <c r="D2" s="5" t="s">
        <v>11</v>
      </c>
      <c r="E2" s="5" t="s">
        <v>125</v>
      </c>
      <c r="G2" s="5" t="s">
        <v>860</v>
      </c>
      <c r="M2" s="133">
        <v>206.0</v>
      </c>
      <c r="N2" s="133">
        <v>14.0</v>
      </c>
      <c r="O2" s="133"/>
      <c r="P2" s="133"/>
    </row>
    <row r="3" ht="14.25" customHeight="1">
      <c r="A3" s="5" t="s">
        <v>861</v>
      </c>
      <c r="B3" s="5" t="s">
        <v>859</v>
      </c>
      <c r="C3" s="5" t="s">
        <v>859</v>
      </c>
      <c r="D3" s="5" t="s">
        <v>11</v>
      </c>
      <c r="E3" s="5" t="s">
        <v>125</v>
      </c>
      <c r="G3" s="5" t="s">
        <v>860</v>
      </c>
      <c r="M3" s="133">
        <f>4*PI()/3*(7.3/2)^3</f>
        <v>203.6888249</v>
      </c>
      <c r="N3" s="133">
        <f>4*PI()*(7.3/2)^2*0.03</f>
        <v>5.022464175</v>
      </c>
      <c r="O3" s="133"/>
      <c r="P3" s="133"/>
    </row>
    <row r="4" ht="14.25" customHeight="1">
      <c r="A4" s="5" t="s">
        <v>862</v>
      </c>
      <c r="B4" s="5" t="s">
        <v>859</v>
      </c>
      <c r="C4" s="5" t="s">
        <v>859</v>
      </c>
      <c r="D4" s="5" t="s">
        <v>11</v>
      </c>
      <c r="E4" s="5" t="s">
        <v>125</v>
      </c>
      <c r="G4" s="5" t="s">
        <v>860</v>
      </c>
      <c r="M4" s="133">
        <v>203.0</v>
      </c>
      <c r="N4" s="133">
        <v>3.0</v>
      </c>
      <c r="O4" s="133"/>
      <c r="P4" s="133"/>
    </row>
    <row r="5" ht="14.25" customHeight="1">
      <c r="A5" s="5" t="s">
        <v>863</v>
      </c>
      <c r="B5" s="5" t="s">
        <v>859</v>
      </c>
      <c r="C5" s="5" t="s">
        <v>859</v>
      </c>
      <c r="D5" s="5" t="s">
        <v>11</v>
      </c>
      <c r="E5" s="5" t="s">
        <v>125</v>
      </c>
      <c r="G5" s="5" t="s">
        <v>864</v>
      </c>
      <c r="M5" s="133">
        <v>125.0</v>
      </c>
      <c r="N5" s="133">
        <v>15.0</v>
      </c>
      <c r="O5" s="133"/>
      <c r="P5" s="133"/>
    </row>
    <row r="6" ht="14.25" customHeight="1">
      <c r="A6" s="5" t="s">
        <v>865</v>
      </c>
      <c r="B6" s="5" t="s">
        <v>859</v>
      </c>
      <c r="C6" s="5" t="s">
        <v>859</v>
      </c>
      <c r="D6" s="5" t="s">
        <v>11</v>
      </c>
      <c r="E6" s="5" t="s">
        <v>125</v>
      </c>
      <c r="G6" s="5" t="s">
        <v>860</v>
      </c>
      <c r="M6" s="133">
        <f>4*PI()/3*(6.05/2)^3</f>
        <v>115.9483963</v>
      </c>
      <c r="N6" s="133">
        <f>4*PI()*(6.05/2)^2*0.04</f>
        <v>4.599605804</v>
      </c>
      <c r="O6" s="133"/>
      <c r="P6" s="133"/>
    </row>
    <row r="7" ht="14.25" customHeight="1">
      <c r="A7" s="5" t="s">
        <v>865</v>
      </c>
      <c r="B7" s="5" t="s">
        <v>859</v>
      </c>
      <c r="C7" s="5" t="s">
        <v>859</v>
      </c>
      <c r="D7" s="5" t="s">
        <v>11</v>
      </c>
      <c r="E7" s="5" t="s">
        <v>125</v>
      </c>
      <c r="G7" s="5" t="s">
        <v>866</v>
      </c>
      <c r="M7" s="133">
        <f>4*PI()/3*(7.02/2)^3</f>
        <v>181.1381628</v>
      </c>
      <c r="N7" s="133">
        <f>4*PI()*(7.02/2)^2*0.04</f>
        <v>6.192757704</v>
      </c>
      <c r="O7" s="133"/>
      <c r="P7" s="133"/>
    </row>
    <row r="8" ht="14.25" customHeight="1">
      <c r="A8" s="5" t="s">
        <v>867</v>
      </c>
      <c r="B8" s="5" t="s">
        <v>189</v>
      </c>
      <c r="C8" s="5" t="s">
        <v>189</v>
      </c>
      <c r="D8" s="5" t="s">
        <v>11</v>
      </c>
      <c r="E8" s="5" t="s">
        <v>125</v>
      </c>
      <c r="G8" s="5" t="s">
        <v>860</v>
      </c>
      <c r="M8" s="133">
        <v>534.0</v>
      </c>
      <c r="N8" s="133">
        <v>47.0</v>
      </c>
      <c r="O8" s="133">
        <f t="shared" ref="O8:O12" si="1">N8/SQRT(P8)</f>
        <v>9.217458351</v>
      </c>
      <c r="P8" s="133">
        <v>26.0</v>
      </c>
    </row>
    <row r="9" ht="14.25" customHeight="1">
      <c r="A9" s="5" t="s">
        <v>867</v>
      </c>
      <c r="B9" s="5" t="s">
        <v>859</v>
      </c>
      <c r="C9" s="5" t="s">
        <v>189</v>
      </c>
      <c r="D9" s="5" t="s">
        <v>11</v>
      </c>
      <c r="E9" s="5" t="s">
        <v>125</v>
      </c>
      <c r="G9" s="5" t="s">
        <v>860</v>
      </c>
      <c r="M9" s="133">
        <v>247.0</v>
      </c>
      <c r="N9" s="133">
        <v>18.0</v>
      </c>
      <c r="O9" s="133">
        <f t="shared" si="1"/>
        <v>3.530090432</v>
      </c>
      <c r="P9" s="133">
        <v>26.0</v>
      </c>
    </row>
    <row r="10" ht="14.25" customHeight="1">
      <c r="A10" s="5" t="s">
        <v>867</v>
      </c>
      <c r="B10" s="5" t="s">
        <v>219</v>
      </c>
      <c r="C10" s="5" t="s">
        <v>189</v>
      </c>
      <c r="D10" s="5" t="s">
        <v>11</v>
      </c>
      <c r="E10" s="5" t="s">
        <v>125</v>
      </c>
      <c r="G10" s="5" t="s">
        <v>860</v>
      </c>
      <c r="M10" s="133">
        <v>468.0</v>
      </c>
      <c r="N10" s="133">
        <v>24.0</v>
      </c>
      <c r="O10" s="133">
        <f t="shared" si="1"/>
        <v>4.706787243</v>
      </c>
      <c r="P10" s="133">
        <v>26.0</v>
      </c>
    </row>
    <row r="11" ht="14.25" customHeight="1">
      <c r="A11" s="5" t="s">
        <v>868</v>
      </c>
      <c r="B11" s="5" t="s">
        <v>189</v>
      </c>
      <c r="C11" s="5" t="s">
        <v>189</v>
      </c>
      <c r="D11" s="5" t="s">
        <v>11</v>
      </c>
      <c r="E11" s="5" t="s">
        <v>125</v>
      </c>
      <c r="M11" s="133">
        <v>421.0</v>
      </c>
      <c r="N11" s="133">
        <v>24.0</v>
      </c>
      <c r="O11" s="133">
        <f t="shared" si="1"/>
        <v>8.485281374</v>
      </c>
      <c r="P11" s="133">
        <v>8.0</v>
      </c>
    </row>
    <row r="12" ht="14.25" customHeight="1">
      <c r="A12" s="5" t="s">
        <v>869</v>
      </c>
      <c r="B12" s="5" t="s">
        <v>189</v>
      </c>
      <c r="C12" s="5" t="s">
        <v>189</v>
      </c>
      <c r="D12" s="5" t="s">
        <v>11</v>
      </c>
      <c r="E12" s="5" t="s">
        <v>125</v>
      </c>
      <c r="M12" s="133">
        <v>413.0</v>
      </c>
      <c r="N12" s="133">
        <v>21.0</v>
      </c>
      <c r="O12" s="133">
        <f t="shared" si="1"/>
        <v>4.695742753</v>
      </c>
      <c r="P12" s="133">
        <v>20.0</v>
      </c>
    </row>
    <row r="13" ht="14.25" customHeight="1">
      <c r="A13" s="5" t="s">
        <v>870</v>
      </c>
      <c r="B13" s="5" t="s">
        <v>189</v>
      </c>
      <c r="C13" s="5" t="s">
        <v>189</v>
      </c>
      <c r="D13" s="5" t="s">
        <v>11</v>
      </c>
      <c r="E13" s="5" t="s">
        <v>125</v>
      </c>
      <c r="M13" s="133">
        <v>346.0</v>
      </c>
      <c r="N13" s="133">
        <f>O13*SQRT(P13)</f>
        <v>5.142956348</v>
      </c>
      <c r="O13" s="133">
        <v>2.3</v>
      </c>
      <c r="P13" s="133">
        <v>5.0</v>
      </c>
    </row>
    <row r="14" ht="14.25" customHeight="1">
      <c r="A14" s="5" t="s">
        <v>871</v>
      </c>
      <c r="B14" s="5" t="s">
        <v>219</v>
      </c>
      <c r="C14" s="5" t="s">
        <v>219</v>
      </c>
      <c r="D14" s="5" t="s">
        <v>11</v>
      </c>
      <c r="E14" s="5" t="s">
        <v>125</v>
      </c>
      <c r="G14" s="5" t="s">
        <v>872</v>
      </c>
      <c r="M14" s="133">
        <v>300.0</v>
      </c>
      <c r="N14" s="133">
        <v>32.0</v>
      </c>
      <c r="O14" s="133">
        <v>5.0</v>
      </c>
      <c r="Q14" s="5" t="s">
        <v>873</v>
      </c>
    </row>
    <row r="15" ht="14.25" customHeight="1">
      <c r="A15" s="5" t="s">
        <v>874</v>
      </c>
      <c r="B15" s="5" t="s">
        <v>124</v>
      </c>
      <c r="C15" s="5" t="s">
        <v>192</v>
      </c>
      <c r="D15" s="5" t="s">
        <v>25</v>
      </c>
      <c r="E15" s="5" t="s">
        <v>247</v>
      </c>
      <c r="F15" s="5" t="s">
        <v>875</v>
      </c>
      <c r="G15" s="5" t="s">
        <v>876</v>
      </c>
      <c r="H15" s="5">
        <f>AVERAGE(11.8,9)</f>
        <v>10.4</v>
      </c>
      <c r="J15" s="5">
        <v>2.0</v>
      </c>
      <c r="M15" s="133">
        <f>4*PI()/3*(H15/2)^3</f>
        <v>588.9774131</v>
      </c>
      <c r="N15" s="133"/>
      <c r="O15" s="133">
        <f>4*PI()*(H15/2)^2*J15/2</f>
        <v>339.7946614</v>
      </c>
    </row>
    <row r="16" ht="14.25" customHeight="1">
      <c r="A16" s="5" t="s">
        <v>132</v>
      </c>
      <c r="B16" s="5" t="s">
        <v>130</v>
      </c>
      <c r="C16" s="5" t="s">
        <v>192</v>
      </c>
      <c r="D16" s="5" t="s">
        <v>833</v>
      </c>
      <c r="E16" s="5" t="s">
        <v>125</v>
      </c>
      <c r="F16" s="5" t="s">
        <v>875</v>
      </c>
      <c r="M16" s="133">
        <v>2500.0</v>
      </c>
      <c r="N16" s="133"/>
      <c r="O16" s="133">
        <v>170.0</v>
      </c>
    </row>
    <row r="17" ht="14.25" customHeight="1">
      <c r="A17" s="5" t="s">
        <v>129</v>
      </c>
      <c r="B17" s="5" t="s">
        <v>130</v>
      </c>
      <c r="C17" s="5" t="s">
        <v>192</v>
      </c>
      <c r="D17" s="5" t="s">
        <v>833</v>
      </c>
      <c r="E17" s="5" t="s">
        <v>125</v>
      </c>
      <c r="F17" s="5" t="s">
        <v>875</v>
      </c>
      <c r="M17" s="133">
        <v>1470.0</v>
      </c>
      <c r="N17" s="133"/>
      <c r="O17" s="133">
        <v>260.0</v>
      </c>
    </row>
    <row r="18" ht="14.25" customHeight="1">
      <c r="A18" s="5" t="s">
        <v>877</v>
      </c>
      <c r="B18" s="5" t="s">
        <v>130</v>
      </c>
      <c r="C18" s="5" t="s">
        <v>192</v>
      </c>
      <c r="D18" s="5" t="s">
        <v>833</v>
      </c>
      <c r="E18" s="5" t="s">
        <v>125</v>
      </c>
      <c r="F18" s="5" t="s">
        <v>875</v>
      </c>
      <c r="G18" s="5" t="s">
        <v>860</v>
      </c>
      <c r="H18" s="5">
        <v>21.2</v>
      </c>
      <c r="J18" s="5">
        <v>0.3</v>
      </c>
      <c r="M18" s="133">
        <v>4990.0</v>
      </c>
      <c r="O18" s="133">
        <v>170.0</v>
      </c>
    </row>
    <row r="19" ht="14.25" customHeight="1">
      <c r="A19" s="5" t="s">
        <v>868</v>
      </c>
      <c r="B19" s="5" t="s">
        <v>878</v>
      </c>
      <c r="C19" s="5" t="s">
        <v>878</v>
      </c>
      <c r="D19" s="5" t="s">
        <v>11</v>
      </c>
      <c r="E19" s="5" t="s">
        <v>125</v>
      </c>
      <c r="G19" s="5" t="s">
        <v>860</v>
      </c>
      <c r="M19" s="133">
        <v>334.0</v>
      </c>
      <c r="N19" s="133">
        <v>32.0</v>
      </c>
      <c r="O19" s="133">
        <f t="shared" ref="O19:O20" si="2">N19/SQRT(P19-1)</f>
        <v>13.06394529</v>
      </c>
      <c r="P19" s="5">
        <v>7.0</v>
      </c>
    </row>
    <row r="20" ht="14.25" customHeight="1">
      <c r="A20" s="5" t="s">
        <v>868</v>
      </c>
      <c r="B20" s="5" t="s">
        <v>859</v>
      </c>
      <c r="C20" s="5" t="s">
        <v>859</v>
      </c>
      <c r="D20" s="5" t="s">
        <v>11</v>
      </c>
      <c r="E20" s="5" t="s">
        <v>125</v>
      </c>
      <c r="G20" s="5" t="s">
        <v>860</v>
      </c>
      <c r="M20" s="133">
        <v>204.0</v>
      </c>
      <c r="N20" s="133">
        <v>19.0</v>
      </c>
      <c r="O20" s="133">
        <f t="shared" si="2"/>
        <v>6.717514421</v>
      </c>
      <c r="P20" s="5">
        <v>9.0</v>
      </c>
    </row>
    <row r="21" ht="14.25" customHeight="1">
      <c r="A21" s="5" t="s">
        <v>879</v>
      </c>
      <c r="B21" s="5" t="s">
        <v>192</v>
      </c>
      <c r="C21" s="5" t="s">
        <v>192</v>
      </c>
      <c r="D21" s="5" t="s">
        <v>46</v>
      </c>
      <c r="E21" s="5" t="s">
        <v>125</v>
      </c>
      <c r="F21" s="5" t="s">
        <v>880</v>
      </c>
      <c r="G21" s="5" t="s">
        <v>876</v>
      </c>
      <c r="H21" s="134">
        <f t="shared" ref="H21:H22" si="3">AVERAGE(K21:L21)</f>
        <v>10.55</v>
      </c>
      <c r="I21" s="135">
        <f t="shared" ref="I21:I22" si="4">(L21-K21)/4</f>
        <v>0.475</v>
      </c>
      <c r="K21" s="5">
        <v>9.6</v>
      </c>
      <c r="L21" s="5">
        <v>11.5</v>
      </c>
      <c r="M21" s="133">
        <f t="shared" ref="M21:M22" si="5">4*PI()/3*(H21/2)^3</f>
        <v>614.8313462</v>
      </c>
      <c r="N21" s="133">
        <f t="shared" ref="N21:N22" si="6">4*PI()*(H21/2)^2*I21/2</f>
        <v>83.04594013</v>
      </c>
    </row>
    <row r="22" ht="14.25" customHeight="1">
      <c r="A22" s="5" t="s">
        <v>879</v>
      </c>
      <c r="B22" s="5" t="s">
        <v>192</v>
      </c>
      <c r="C22" s="5" t="s">
        <v>192</v>
      </c>
      <c r="D22" s="5" t="s">
        <v>881</v>
      </c>
      <c r="E22" s="5" t="s">
        <v>125</v>
      </c>
      <c r="F22" s="5" t="s">
        <v>880</v>
      </c>
      <c r="G22" s="5" t="s">
        <v>876</v>
      </c>
      <c r="H22" s="134">
        <f t="shared" si="3"/>
        <v>12.65</v>
      </c>
      <c r="I22" s="135">
        <f t="shared" si="4"/>
        <v>0.275</v>
      </c>
      <c r="K22" s="5">
        <v>12.1</v>
      </c>
      <c r="L22" s="5">
        <v>13.2</v>
      </c>
      <c r="M22" s="133">
        <f t="shared" si="5"/>
        <v>1059.912951</v>
      </c>
      <c r="N22" s="133">
        <f t="shared" si="6"/>
        <v>69.12475768</v>
      </c>
      <c r="O22" s="133"/>
    </row>
    <row r="23" ht="14.25" customHeight="1">
      <c r="A23" s="5" t="s">
        <v>882</v>
      </c>
      <c r="B23" s="5" t="s">
        <v>192</v>
      </c>
      <c r="C23" s="5" t="s">
        <v>192</v>
      </c>
      <c r="D23" s="5" t="s">
        <v>883</v>
      </c>
      <c r="E23" s="5" t="s">
        <v>125</v>
      </c>
      <c r="F23" s="5" t="s">
        <v>880</v>
      </c>
      <c r="G23" s="5" t="s">
        <v>866</v>
      </c>
      <c r="M23" s="133">
        <v>2040.0</v>
      </c>
      <c r="N23" s="5">
        <v>120.0</v>
      </c>
      <c r="Q23" s="5" t="s">
        <v>884</v>
      </c>
    </row>
    <row r="24" ht="14.25" customHeight="1">
      <c r="A24" s="5" t="s">
        <v>882</v>
      </c>
      <c r="B24" s="5" t="s">
        <v>192</v>
      </c>
      <c r="C24" s="5" t="s">
        <v>192</v>
      </c>
      <c r="D24" s="5" t="s">
        <v>883</v>
      </c>
      <c r="E24" s="5" t="s">
        <v>125</v>
      </c>
      <c r="F24" s="5" t="s">
        <v>880</v>
      </c>
      <c r="G24" s="5" t="s">
        <v>866</v>
      </c>
      <c r="M24" s="5">
        <v>1180.0</v>
      </c>
      <c r="N24" s="5">
        <v>100.0</v>
      </c>
      <c r="Q24" s="5" t="s">
        <v>885</v>
      </c>
    </row>
    <row r="25" ht="14.25" customHeight="1">
      <c r="A25" s="5" t="s">
        <v>886</v>
      </c>
      <c r="B25" s="5" t="s">
        <v>124</v>
      </c>
      <c r="C25" s="5" t="s">
        <v>192</v>
      </c>
      <c r="D25" s="5" t="s">
        <v>25</v>
      </c>
      <c r="E25" s="5" t="s">
        <v>125</v>
      </c>
      <c r="F25" s="5" t="s">
        <v>875</v>
      </c>
      <c r="G25" s="5" t="s">
        <v>887</v>
      </c>
      <c r="H25" s="134">
        <f t="shared" ref="H25:H26" si="7">AVERAGE(K25:L25)</f>
        <v>17.5</v>
      </c>
      <c r="I25" s="135">
        <f t="shared" ref="I25:I26" si="8">(L25-K25)/4</f>
        <v>1.25</v>
      </c>
      <c r="K25" s="5">
        <v>15.0</v>
      </c>
      <c r="L25" s="5">
        <v>20.0</v>
      </c>
      <c r="M25" s="133">
        <f t="shared" ref="M25:M31" si="9">4*PI()/3*(H25/2)^3</f>
        <v>2806.162188</v>
      </c>
      <c r="N25" s="133">
        <f t="shared" ref="N25:N26" si="10">4*PI()*(H25/2)^2*I25/2</f>
        <v>601.3204689</v>
      </c>
    </row>
    <row r="26" ht="14.25" customHeight="1">
      <c r="A26" s="5" t="s">
        <v>888</v>
      </c>
      <c r="B26" s="133" t="s">
        <v>889</v>
      </c>
      <c r="C26" s="5" t="s">
        <v>192</v>
      </c>
      <c r="D26" s="5" t="s">
        <v>46</v>
      </c>
      <c r="E26" s="5" t="s">
        <v>125</v>
      </c>
      <c r="F26" s="5" t="s">
        <v>875</v>
      </c>
      <c r="H26" s="134">
        <f t="shared" si="7"/>
        <v>17.5</v>
      </c>
      <c r="I26" s="135">
        <f t="shared" si="8"/>
        <v>1.25</v>
      </c>
      <c r="K26" s="5">
        <v>15.0</v>
      </c>
      <c r="L26" s="5">
        <v>20.0</v>
      </c>
      <c r="M26" s="133">
        <f t="shared" si="9"/>
        <v>2806.162188</v>
      </c>
      <c r="N26" s="133">
        <f t="shared" si="10"/>
        <v>601.3204689</v>
      </c>
    </row>
    <row r="27" ht="14.25" customHeight="1">
      <c r="A27" s="5" t="s">
        <v>188</v>
      </c>
      <c r="B27" s="5" t="s">
        <v>192</v>
      </c>
      <c r="C27" s="5" t="s">
        <v>192</v>
      </c>
      <c r="D27" s="5" t="s">
        <v>21</v>
      </c>
      <c r="E27" s="5" t="s">
        <v>125</v>
      </c>
      <c r="F27" s="5" t="s">
        <v>875</v>
      </c>
      <c r="G27" s="5" t="s">
        <v>887</v>
      </c>
      <c r="H27" s="134">
        <f t="shared" ref="H27:H29" si="11">GEOMEAN(K27,L27)</f>
        <v>19.17028951</v>
      </c>
      <c r="J27" s="5">
        <v>3.0</v>
      </c>
      <c r="K27" s="5">
        <f>0.7*15</f>
        <v>10.5</v>
      </c>
      <c r="L27" s="5">
        <f>0.7*50</f>
        <v>35</v>
      </c>
      <c r="M27" s="133">
        <f t="shared" si="9"/>
        <v>3688.795993</v>
      </c>
      <c r="N27" s="133"/>
      <c r="O27" s="133">
        <f t="shared" ref="O27:O29" si="12">4*PI()*(H27/2)^2*J27/2</f>
        <v>1731.80295</v>
      </c>
      <c r="Q27" s="5" t="s">
        <v>890</v>
      </c>
    </row>
    <row r="28" ht="14.25" customHeight="1">
      <c r="A28" s="5" t="s">
        <v>188</v>
      </c>
      <c r="B28" s="5" t="s">
        <v>192</v>
      </c>
      <c r="C28" s="5" t="s">
        <v>192</v>
      </c>
      <c r="D28" s="5" t="s">
        <v>46</v>
      </c>
      <c r="E28" s="5" t="s">
        <v>125</v>
      </c>
      <c r="F28" s="5" t="s">
        <v>880</v>
      </c>
      <c r="G28" s="5" t="s">
        <v>887</v>
      </c>
      <c r="H28" s="134">
        <f t="shared" si="11"/>
        <v>14</v>
      </c>
      <c r="J28" s="5">
        <v>2.0</v>
      </c>
      <c r="K28" s="5">
        <f>0.7*10</f>
        <v>7</v>
      </c>
      <c r="L28" s="5">
        <f>0.7*40</f>
        <v>28</v>
      </c>
      <c r="M28" s="133">
        <f t="shared" si="9"/>
        <v>1436.75504</v>
      </c>
      <c r="N28" s="133"/>
      <c r="O28" s="133">
        <f t="shared" si="12"/>
        <v>615.7521601</v>
      </c>
      <c r="Q28" s="5" t="s">
        <v>890</v>
      </c>
    </row>
    <row r="29" ht="14.25" customHeight="1">
      <c r="A29" s="5" t="s">
        <v>188</v>
      </c>
      <c r="B29" s="5" t="s">
        <v>130</v>
      </c>
      <c r="C29" s="5" t="s">
        <v>192</v>
      </c>
      <c r="D29" s="5" t="s">
        <v>833</v>
      </c>
      <c r="E29" s="5" t="s">
        <v>125</v>
      </c>
      <c r="F29" s="5" t="s">
        <v>875</v>
      </c>
      <c r="G29" s="5" t="s">
        <v>887</v>
      </c>
      <c r="H29" s="134">
        <f t="shared" si="11"/>
        <v>19.17028951</v>
      </c>
      <c r="J29" s="5">
        <v>3.0</v>
      </c>
      <c r="K29" s="5">
        <f>0.7*15</f>
        <v>10.5</v>
      </c>
      <c r="L29" s="5">
        <f>0.7*50</f>
        <v>35</v>
      </c>
      <c r="M29" s="133">
        <f t="shared" si="9"/>
        <v>3688.795993</v>
      </c>
      <c r="N29" s="133"/>
      <c r="O29" s="133">
        <f t="shared" si="12"/>
        <v>1731.80295</v>
      </c>
      <c r="Q29" s="5" t="s">
        <v>890</v>
      </c>
    </row>
    <row r="30" ht="14.25" customHeight="1">
      <c r="A30" s="5" t="s">
        <v>891</v>
      </c>
      <c r="B30" s="5" t="s">
        <v>892</v>
      </c>
      <c r="C30" s="5" t="s">
        <v>892</v>
      </c>
      <c r="E30" s="5" t="s">
        <v>125</v>
      </c>
      <c r="H30" s="134">
        <v>14.0</v>
      </c>
      <c r="I30" s="135">
        <f>(L30-K30)/4</f>
        <v>2.75</v>
      </c>
      <c r="J30" s="134"/>
      <c r="K30" s="5">
        <v>9.0</v>
      </c>
      <c r="L30" s="5">
        <v>20.0</v>
      </c>
      <c r="M30" s="133">
        <f t="shared" si="9"/>
        <v>1436.75504</v>
      </c>
      <c r="N30" s="133">
        <f>4*PI()*(H30/2)^2*I30/2</f>
        <v>846.6592201</v>
      </c>
      <c r="O30" s="133"/>
    </row>
    <row r="31" ht="14.25" customHeight="1">
      <c r="A31" s="5" t="s">
        <v>891</v>
      </c>
      <c r="B31" s="5" t="s">
        <v>237</v>
      </c>
      <c r="C31" s="5" t="s">
        <v>237</v>
      </c>
      <c r="D31" s="5" t="s">
        <v>11</v>
      </c>
      <c r="E31" s="5" t="s">
        <v>125</v>
      </c>
      <c r="G31" s="5" t="s">
        <v>887</v>
      </c>
      <c r="H31" s="5">
        <v>8.0</v>
      </c>
      <c r="M31" s="133">
        <f t="shared" si="9"/>
        <v>268.0825731</v>
      </c>
    </row>
    <row r="32" ht="14.25" customHeight="1">
      <c r="A32" s="5" t="s">
        <v>893</v>
      </c>
      <c r="B32" s="5" t="s">
        <v>192</v>
      </c>
      <c r="C32" s="5" t="s">
        <v>192</v>
      </c>
      <c r="D32" s="5" t="s">
        <v>883</v>
      </c>
      <c r="E32" s="5" t="s">
        <v>125</v>
      </c>
      <c r="F32" s="5" t="s">
        <v>880</v>
      </c>
      <c r="G32" s="5" t="s">
        <v>894</v>
      </c>
      <c r="M32" s="133">
        <v>775.0</v>
      </c>
      <c r="O32" s="5">
        <v>120.0</v>
      </c>
      <c r="Q32" s="5" t="s">
        <v>884</v>
      </c>
    </row>
    <row r="33" ht="14.25" customHeight="1">
      <c r="A33" s="5" t="s">
        <v>893</v>
      </c>
      <c r="B33" s="5" t="s">
        <v>859</v>
      </c>
      <c r="C33" s="5" t="s">
        <v>859</v>
      </c>
      <c r="D33" s="5" t="s">
        <v>11</v>
      </c>
      <c r="E33" s="5" t="s">
        <v>125</v>
      </c>
      <c r="G33" s="5" t="s">
        <v>894</v>
      </c>
      <c r="M33" s="5">
        <v>123.0</v>
      </c>
      <c r="O33" s="5">
        <v>3.0</v>
      </c>
      <c r="Q33" s="5" t="s">
        <v>895</v>
      </c>
    </row>
    <row r="34" ht="14.25" customHeight="1">
      <c r="A34" s="5" t="s">
        <v>893</v>
      </c>
      <c r="B34" s="5" t="s">
        <v>189</v>
      </c>
      <c r="C34" s="5" t="s">
        <v>189</v>
      </c>
      <c r="D34" s="5" t="s">
        <v>11</v>
      </c>
      <c r="E34" s="5" t="s">
        <v>125</v>
      </c>
      <c r="G34" s="5" t="s">
        <v>894</v>
      </c>
      <c r="M34" s="5">
        <v>270.0</v>
      </c>
      <c r="O34" s="5">
        <v>7.0</v>
      </c>
      <c r="Q34" s="5" t="s">
        <v>895</v>
      </c>
    </row>
    <row r="35" ht="14.25" customHeight="1">
      <c r="A35" s="5" t="s">
        <v>893</v>
      </c>
      <c r="B35" s="5" t="s">
        <v>219</v>
      </c>
      <c r="C35" s="5" t="s">
        <v>219</v>
      </c>
      <c r="D35" s="5" t="s">
        <v>11</v>
      </c>
      <c r="E35" s="5" t="s">
        <v>125</v>
      </c>
      <c r="G35" s="5" t="s">
        <v>894</v>
      </c>
      <c r="M35" s="133">
        <v>257.0</v>
      </c>
      <c r="O35" s="5">
        <v>5.0</v>
      </c>
      <c r="Q35" s="5" t="s">
        <v>895</v>
      </c>
    </row>
    <row r="36" ht="14.25" customHeight="1">
      <c r="A36" s="5" t="s">
        <v>893</v>
      </c>
      <c r="B36" s="5" t="s">
        <v>237</v>
      </c>
      <c r="C36" s="5" t="s">
        <v>237</v>
      </c>
      <c r="D36" s="5" t="s">
        <v>11</v>
      </c>
      <c r="E36" s="5" t="s">
        <v>125</v>
      </c>
      <c r="G36" s="5" t="s">
        <v>894</v>
      </c>
      <c r="M36" s="133">
        <v>255.0</v>
      </c>
      <c r="O36" s="5">
        <v>5.0</v>
      </c>
      <c r="Q36" s="5" t="s">
        <v>895</v>
      </c>
    </row>
    <row r="37" ht="14.25" customHeight="1">
      <c r="A37" s="5" t="s">
        <v>188</v>
      </c>
      <c r="B37" s="5" t="s">
        <v>237</v>
      </c>
      <c r="C37" s="5" t="s">
        <v>237</v>
      </c>
      <c r="D37" s="5" t="s">
        <v>11</v>
      </c>
      <c r="E37" s="5" t="s">
        <v>125</v>
      </c>
      <c r="G37" s="5" t="s">
        <v>887</v>
      </c>
      <c r="H37" s="134">
        <f t="shared" ref="H37:H38" si="13">GEOMEAN(K37,L37)</f>
        <v>8.5732141</v>
      </c>
      <c r="I37" s="135">
        <f t="shared" ref="I37:I39" si="14">(L37-K37)/4</f>
        <v>0.875</v>
      </c>
      <c r="J37" s="5">
        <v>0.5</v>
      </c>
      <c r="K37" s="5">
        <f>0.7*10</f>
        <v>7</v>
      </c>
      <c r="L37" s="5">
        <f t="shared" ref="L37:L38" si="15">0.7*15</f>
        <v>10.5</v>
      </c>
      <c r="M37" s="133">
        <f t="shared" ref="M37:M41" si="16">4*PI()/3*(H37/2)^3</f>
        <v>329.9359438</v>
      </c>
      <c r="N37" s="133">
        <f t="shared" ref="N37:N39" si="17">4*PI()*(H37/2)^2*I37/2</f>
        <v>101.0218388</v>
      </c>
      <c r="O37" s="133">
        <f>4*PI()*(H37/2)^2*J37/2</f>
        <v>57.72676501</v>
      </c>
      <c r="Q37" s="5" t="s">
        <v>890</v>
      </c>
    </row>
    <row r="38" ht="14.25" customHeight="1">
      <c r="A38" s="5" t="s">
        <v>896</v>
      </c>
      <c r="B38" s="5" t="s">
        <v>326</v>
      </c>
      <c r="C38" s="5" t="s">
        <v>326</v>
      </c>
      <c r="D38" s="5" t="s">
        <v>11</v>
      </c>
      <c r="E38" s="5" t="s">
        <v>125</v>
      </c>
      <c r="G38" s="5" t="s">
        <v>887</v>
      </c>
      <c r="H38" s="134">
        <f t="shared" si="13"/>
        <v>9.391485505</v>
      </c>
      <c r="I38" s="135">
        <f t="shared" si="14"/>
        <v>0.525</v>
      </c>
      <c r="K38" s="5">
        <f t="shared" ref="K38:K39" si="18">0.7*12</f>
        <v>8.4</v>
      </c>
      <c r="L38" s="5">
        <f t="shared" si="15"/>
        <v>10.5</v>
      </c>
      <c r="M38" s="133">
        <f t="shared" si="16"/>
        <v>433.7120615</v>
      </c>
      <c r="N38" s="133">
        <f t="shared" si="17"/>
        <v>72.73572391</v>
      </c>
      <c r="O38" s="133"/>
      <c r="Q38" s="5" t="s">
        <v>890</v>
      </c>
    </row>
    <row r="39" ht="14.25" customHeight="1">
      <c r="A39" s="5" t="s">
        <v>188</v>
      </c>
      <c r="B39" s="5" t="s">
        <v>265</v>
      </c>
      <c r="C39" s="5" t="s">
        <v>265</v>
      </c>
      <c r="D39" s="5" t="s">
        <v>897</v>
      </c>
      <c r="E39" s="5" t="s">
        <v>125</v>
      </c>
      <c r="G39" s="5" t="s">
        <v>887</v>
      </c>
      <c r="H39" s="134">
        <f>AVERAGE(K39:L39)</f>
        <v>11.2</v>
      </c>
      <c r="I39" s="135">
        <f t="shared" si="14"/>
        <v>1.4</v>
      </c>
      <c r="K39" s="5">
        <f t="shared" si="18"/>
        <v>8.4</v>
      </c>
      <c r="L39" s="5">
        <f>0.7*20</f>
        <v>14</v>
      </c>
      <c r="M39" s="133">
        <f t="shared" si="16"/>
        <v>735.6185806</v>
      </c>
      <c r="N39" s="133">
        <f t="shared" si="17"/>
        <v>275.8569677</v>
      </c>
    </row>
    <row r="40" ht="14.25" customHeight="1">
      <c r="A40" s="5" t="s">
        <v>898</v>
      </c>
      <c r="B40" s="5" t="s">
        <v>265</v>
      </c>
      <c r="C40" s="5" t="s">
        <v>265</v>
      </c>
      <c r="D40" s="5" t="s">
        <v>833</v>
      </c>
      <c r="E40" s="5" t="s">
        <v>125</v>
      </c>
      <c r="H40" s="134">
        <f>GEOMEAN(K40,L40)</f>
        <v>12.64911064</v>
      </c>
      <c r="J40" s="134">
        <f>AVERAGEA(K40:L40)-H40</f>
        <v>1.350889359</v>
      </c>
      <c r="K40" s="5">
        <v>8.0</v>
      </c>
      <c r="L40" s="5">
        <v>20.0</v>
      </c>
      <c r="M40" s="133">
        <f t="shared" si="16"/>
        <v>1059.689415</v>
      </c>
      <c r="O40" s="133">
        <f>4*PI()*(H40/2)^2*J40/2</f>
        <v>339.515527</v>
      </c>
    </row>
    <row r="41" ht="14.25" customHeight="1">
      <c r="A41" s="5" t="s">
        <v>899</v>
      </c>
      <c r="B41" s="5" t="s">
        <v>265</v>
      </c>
      <c r="C41" s="5" t="s">
        <v>265</v>
      </c>
      <c r="D41" s="5" t="s">
        <v>833</v>
      </c>
      <c r="E41" s="5" t="s">
        <v>125</v>
      </c>
      <c r="H41" s="134">
        <f>AVERAGE(K41:L41)</f>
        <v>13.6</v>
      </c>
      <c r="I41" s="135">
        <f>(L41-K41)/4</f>
        <v>0.6</v>
      </c>
      <c r="J41" s="134"/>
      <c r="K41" s="5">
        <v>12.4</v>
      </c>
      <c r="L41" s="5">
        <v>14.8</v>
      </c>
      <c r="M41" s="133">
        <f t="shared" si="16"/>
        <v>1317.089682</v>
      </c>
      <c r="N41" s="133">
        <f>4*PI()*(H41/2)^2*I41/2</f>
        <v>174.3206932</v>
      </c>
    </row>
    <row r="42" ht="14.25" customHeight="1">
      <c r="A42" s="5" t="s">
        <v>900</v>
      </c>
      <c r="B42" s="5" t="s">
        <v>179</v>
      </c>
      <c r="C42" s="5" t="s">
        <v>179</v>
      </c>
      <c r="E42" s="5" t="s">
        <v>187</v>
      </c>
      <c r="M42" s="5">
        <v>2200.0</v>
      </c>
      <c r="Q42" s="5" t="s">
        <v>901</v>
      </c>
    </row>
    <row r="43" ht="14.25" customHeight="1">
      <c r="A43" s="5" t="s">
        <v>902</v>
      </c>
      <c r="B43" s="5" t="s">
        <v>179</v>
      </c>
      <c r="C43" s="5" t="s">
        <v>179</v>
      </c>
      <c r="D43" s="5" t="s">
        <v>21</v>
      </c>
      <c r="E43" s="5" t="s">
        <v>187</v>
      </c>
      <c r="H43" s="134">
        <f t="shared" ref="H43:H44" si="19">AVERAGE(K43:L43)</f>
        <v>12.5</v>
      </c>
      <c r="I43" s="135">
        <f t="shared" ref="I43:I44" si="20">(L43-K43)/4</f>
        <v>1.25</v>
      </c>
      <c r="K43" s="5">
        <v>10.0</v>
      </c>
      <c r="L43" s="5">
        <v>15.0</v>
      </c>
      <c r="M43" s="133">
        <f t="shared" ref="M43:M44" si="21">4*PI()/3*(H43/2)^3 * 1.2</f>
        <v>1227.18463</v>
      </c>
      <c r="N43" s="133">
        <f t="shared" ref="N43:N44" si="22">4*PI()*(H43/2)^2*I43/2*1.2</f>
        <v>368.1553891</v>
      </c>
      <c r="Q43" s="5" t="s">
        <v>903</v>
      </c>
    </row>
    <row r="44" ht="14.25" customHeight="1">
      <c r="A44" s="5" t="s">
        <v>904</v>
      </c>
      <c r="B44" s="5" t="s">
        <v>179</v>
      </c>
      <c r="C44" s="5" t="s">
        <v>179</v>
      </c>
      <c r="D44" s="5" t="s">
        <v>23</v>
      </c>
      <c r="E44" s="5" t="s">
        <v>125</v>
      </c>
      <c r="H44" s="134">
        <f t="shared" si="19"/>
        <v>17.5</v>
      </c>
      <c r="I44" s="135">
        <f t="shared" si="20"/>
        <v>1.25</v>
      </c>
      <c r="K44" s="5">
        <v>15.0</v>
      </c>
      <c r="L44" s="5">
        <v>20.0</v>
      </c>
      <c r="M44" s="133">
        <f t="shared" si="21"/>
        <v>3367.394626</v>
      </c>
      <c r="N44" s="133">
        <f t="shared" si="22"/>
        <v>721.5845626</v>
      </c>
      <c r="Q44" s="5" t="s">
        <v>905</v>
      </c>
    </row>
    <row r="45" ht="14.25" customHeight="1">
      <c r="A45" s="5" t="s">
        <v>906</v>
      </c>
      <c r="B45" s="5" t="s">
        <v>141</v>
      </c>
      <c r="C45" s="5" t="s">
        <v>192</v>
      </c>
      <c r="D45" s="5" t="s">
        <v>79</v>
      </c>
      <c r="E45" s="5" t="s">
        <v>125</v>
      </c>
      <c r="F45" s="5" t="s">
        <v>875</v>
      </c>
      <c r="G45" s="5" t="s">
        <v>907</v>
      </c>
      <c r="M45" s="133">
        <f>260*520/124</f>
        <v>1090.322581</v>
      </c>
      <c r="N45" s="133">
        <f>100*520/124</f>
        <v>419.3548387</v>
      </c>
      <c r="Q45" s="5" t="s">
        <v>908</v>
      </c>
    </row>
    <row r="46" ht="14.25" customHeight="1">
      <c r="A46" s="5" t="s">
        <v>909</v>
      </c>
      <c r="B46" s="5" t="s">
        <v>141</v>
      </c>
      <c r="C46" s="5" t="s">
        <v>192</v>
      </c>
      <c r="D46" s="5" t="s">
        <v>79</v>
      </c>
      <c r="E46" s="5" t="s">
        <v>187</v>
      </c>
      <c r="F46" s="5" t="s">
        <v>875</v>
      </c>
      <c r="G46" s="5" t="s">
        <v>907</v>
      </c>
      <c r="M46" s="5">
        <v>520.0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71"/>
    <col customWidth="1" min="3" max="3" width="13.86"/>
    <col customWidth="1" min="4" max="4" width="17.14"/>
    <col customWidth="1" min="5" max="5" width="15.0"/>
    <col customWidth="1" min="6" max="7" width="13.43"/>
    <col customWidth="1" min="8" max="26" width="8.71"/>
  </cols>
  <sheetData>
    <row r="1" ht="14.25" customHeight="1">
      <c r="A1" s="12" t="s">
        <v>910</v>
      </c>
      <c r="B1" s="12" t="s">
        <v>911</v>
      </c>
      <c r="C1" s="12" t="s">
        <v>912</v>
      </c>
      <c r="D1" s="12" t="s">
        <v>913</v>
      </c>
      <c r="E1" s="5" t="s">
        <v>914</v>
      </c>
      <c r="F1" s="127" t="s">
        <v>915</v>
      </c>
      <c r="G1" s="12" t="s">
        <v>916</v>
      </c>
      <c r="H1" s="12" t="s">
        <v>101</v>
      </c>
    </row>
    <row r="2" ht="14.25" customHeight="1">
      <c r="A2" s="12" t="s">
        <v>917</v>
      </c>
      <c r="B2" s="12" t="s">
        <v>918</v>
      </c>
      <c r="C2" s="136"/>
      <c r="D2" s="137">
        <v>0.12909441230000002</v>
      </c>
    </row>
    <row r="3" ht="14.25" customHeight="1">
      <c r="A3" s="12" t="s">
        <v>917</v>
      </c>
      <c r="B3" s="12" t="s">
        <v>919</v>
      </c>
      <c r="C3" s="136"/>
      <c r="D3" s="137">
        <v>0.059730250480000004</v>
      </c>
    </row>
    <row r="4" ht="14.25" customHeight="1">
      <c r="A4" s="12" t="s">
        <v>917</v>
      </c>
      <c r="B4" s="12" t="s">
        <v>920</v>
      </c>
      <c r="C4" s="136"/>
      <c r="D4" s="137">
        <v>0.8111753372</v>
      </c>
    </row>
    <row r="5" ht="14.25" customHeight="1">
      <c r="A5" s="12" t="s">
        <v>921</v>
      </c>
      <c r="B5" s="12" t="s">
        <v>918</v>
      </c>
      <c r="C5" s="136">
        <v>0.05</v>
      </c>
      <c r="D5" s="137">
        <v>0.30250481700000004</v>
      </c>
    </row>
    <row r="6" ht="14.25" customHeight="1">
      <c r="A6" s="12" t="s">
        <v>921</v>
      </c>
      <c r="B6" s="12" t="s">
        <v>922</v>
      </c>
      <c r="C6" s="136">
        <v>0.5</v>
      </c>
      <c r="D6" s="137">
        <v>0.39691714840000003</v>
      </c>
      <c r="F6" s="19">
        <f>4*10^9</f>
        <v>4000000000</v>
      </c>
      <c r="H6" s="5" t="s">
        <v>923</v>
      </c>
    </row>
    <row r="7" ht="14.25" customHeight="1">
      <c r="A7" s="12" t="s">
        <v>921</v>
      </c>
      <c r="B7" s="12" t="s">
        <v>919</v>
      </c>
      <c r="C7" s="5">
        <v>0.1</v>
      </c>
      <c r="D7" s="137">
        <v>0.2003853565</v>
      </c>
    </row>
    <row r="8" ht="14.25" customHeight="1">
      <c r="A8" s="12" t="s">
        <v>921</v>
      </c>
      <c r="B8" s="12" t="s">
        <v>920</v>
      </c>
      <c r="C8" s="136">
        <v>0.34</v>
      </c>
      <c r="D8" s="137">
        <v>0.1001926782</v>
      </c>
    </row>
    <row r="9" ht="14.25" customHeight="1">
      <c r="A9" s="12" t="s">
        <v>921</v>
      </c>
      <c r="B9" s="12" t="s">
        <v>924</v>
      </c>
      <c r="C9" s="136">
        <v>0.01</v>
      </c>
      <c r="D9" s="137">
        <v>0.0</v>
      </c>
    </row>
    <row r="10" ht="14.25" customHeight="1">
      <c r="A10" s="12" t="s">
        <v>925</v>
      </c>
      <c r="B10" s="12" t="s">
        <v>918</v>
      </c>
      <c r="C10" s="136"/>
      <c r="D10" s="137">
        <v>0.47784200390000003</v>
      </c>
    </row>
    <row r="11" ht="14.25" customHeight="1">
      <c r="A11" s="12" t="s">
        <v>925</v>
      </c>
      <c r="B11" s="12" t="s">
        <v>919</v>
      </c>
      <c r="C11" s="136"/>
      <c r="D11" s="137">
        <v>0.03853564547</v>
      </c>
    </row>
    <row r="12" ht="14.25" customHeight="1">
      <c r="A12" s="12" t="s">
        <v>925</v>
      </c>
      <c r="B12" s="12" t="s">
        <v>920</v>
      </c>
      <c r="C12" s="136"/>
      <c r="D12" s="137">
        <v>0.4836223507</v>
      </c>
    </row>
    <row r="13" ht="14.25" customHeight="1">
      <c r="A13" s="12" t="s">
        <v>35</v>
      </c>
      <c r="B13" s="12" t="s">
        <v>918</v>
      </c>
      <c r="C13" s="136">
        <v>0.0758935</v>
      </c>
      <c r="D13" s="137">
        <v>0.05009633911</v>
      </c>
      <c r="E13" s="5" t="s">
        <v>926</v>
      </c>
    </row>
    <row r="14" ht="14.25" customHeight="1">
      <c r="A14" s="12" t="s">
        <v>35</v>
      </c>
      <c r="B14" s="12" t="s">
        <v>922</v>
      </c>
      <c r="C14" s="136">
        <v>0.29846900000000004</v>
      </c>
      <c r="D14" s="137">
        <v>0.37379576105</v>
      </c>
      <c r="E14" s="5" t="s">
        <v>926</v>
      </c>
      <c r="F14" s="19">
        <v>6.0E10</v>
      </c>
      <c r="G14" s="19">
        <v>2.0E10</v>
      </c>
      <c r="H14" s="5" t="s">
        <v>209</v>
      </c>
    </row>
    <row r="15" ht="14.25" customHeight="1">
      <c r="A15" s="12" t="s">
        <v>35</v>
      </c>
      <c r="B15" s="12" t="s">
        <v>919</v>
      </c>
      <c r="C15" s="136">
        <v>0.25</v>
      </c>
      <c r="D15" s="137">
        <v>0.24855491329999999</v>
      </c>
      <c r="E15" s="5" t="s">
        <v>926</v>
      </c>
    </row>
    <row r="16" ht="14.25" customHeight="1">
      <c r="A16" s="12" t="s">
        <v>35</v>
      </c>
      <c r="B16" s="12" t="s">
        <v>924</v>
      </c>
      <c r="C16" s="136">
        <v>0.015306</v>
      </c>
      <c r="D16" s="137">
        <v>0.01156069364</v>
      </c>
      <c r="E16" s="5" t="s">
        <v>926</v>
      </c>
    </row>
    <row r="17" ht="14.25" customHeight="1">
      <c r="A17" s="12" t="s">
        <v>35</v>
      </c>
      <c r="B17" s="12" t="s">
        <v>920</v>
      </c>
      <c r="C17" s="136">
        <v>0.3603315</v>
      </c>
      <c r="D17" s="137">
        <v>0.31599229285</v>
      </c>
      <c r="E17" s="5" t="s">
        <v>926</v>
      </c>
    </row>
    <row r="18" ht="14.25" customHeight="1">
      <c r="A18" s="12" t="s">
        <v>927</v>
      </c>
      <c r="B18" s="12" t="s">
        <v>918</v>
      </c>
      <c r="C18" s="138">
        <v>0.05102011764705883</v>
      </c>
      <c r="D18" s="138">
        <v>0.02312138728705882</v>
      </c>
      <c r="E18" s="5" t="s">
        <v>928</v>
      </c>
    </row>
    <row r="19" ht="14.25" customHeight="1">
      <c r="A19" s="12" t="s">
        <v>927</v>
      </c>
      <c r="B19" s="12" t="s">
        <v>922</v>
      </c>
      <c r="C19" s="138">
        <v>0.23424399999999995</v>
      </c>
      <c r="D19" s="138">
        <v>0.17171030264117645</v>
      </c>
      <c r="E19" s="5" t="s">
        <v>928</v>
      </c>
      <c r="F19" s="5">
        <v>1.2E11</v>
      </c>
      <c r="G19" s="19">
        <v>2.0E10</v>
      </c>
      <c r="H19" s="5" t="s">
        <v>209</v>
      </c>
    </row>
    <row r="20" ht="14.25" customHeight="1">
      <c r="A20" s="12" t="s">
        <v>927</v>
      </c>
      <c r="B20" s="12" t="s">
        <v>919</v>
      </c>
      <c r="C20" s="138">
        <v>0.30559735294117646</v>
      </c>
      <c r="D20" s="138">
        <v>0.5697608523235294</v>
      </c>
      <c r="E20" s="5" t="s">
        <v>928</v>
      </c>
    </row>
    <row r="21" ht="14.25" customHeight="1">
      <c r="A21" s="12" t="s">
        <v>927</v>
      </c>
      <c r="B21" s="12" t="s">
        <v>924</v>
      </c>
      <c r="C21" s="138">
        <v>0.019207529411764703</v>
      </c>
      <c r="D21" s="138">
        <v>0.01156069364</v>
      </c>
      <c r="E21" s="5" t="s">
        <v>928</v>
      </c>
    </row>
    <row r="22" ht="14.25" customHeight="1">
      <c r="A22" s="12" t="s">
        <v>927</v>
      </c>
      <c r="B22" s="12" t="s">
        <v>920</v>
      </c>
      <c r="C22" s="138">
        <v>0.38993099999999997</v>
      </c>
      <c r="D22" s="138">
        <v>0.2238467641705882</v>
      </c>
      <c r="E22" s="5" t="s">
        <v>928</v>
      </c>
    </row>
    <row r="23" ht="14.25" customHeight="1">
      <c r="A23" s="12" t="s">
        <v>25</v>
      </c>
      <c r="B23" s="12" t="s">
        <v>918</v>
      </c>
      <c r="C23" s="136">
        <v>0.049745</v>
      </c>
      <c r="D23" s="137"/>
    </row>
    <row r="24" ht="14.25" customHeight="1">
      <c r="A24" s="12" t="s">
        <v>25</v>
      </c>
      <c r="B24" s="12" t="s">
        <v>922</v>
      </c>
      <c r="C24" s="136">
        <v>0.75</v>
      </c>
      <c r="D24" s="137"/>
      <c r="F24" s="16">
        <v>2.8E11</v>
      </c>
      <c r="G24" s="19">
        <v>5.0E10</v>
      </c>
      <c r="H24" s="5" t="s">
        <v>832</v>
      </c>
    </row>
    <row r="25" ht="14.25" customHeight="1">
      <c r="A25" s="12" t="s">
        <v>25</v>
      </c>
      <c r="B25" s="12" t="s">
        <v>919</v>
      </c>
      <c r="C25" s="136">
        <v>0.15051</v>
      </c>
      <c r="D25" s="137"/>
    </row>
    <row r="26" ht="14.25" customHeight="1">
      <c r="A26" s="12" t="s">
        <v>25</v>
      </c>
      <c r="B26" s="12" t="s">
        <v>920</v>
      </c>
      <c r="C26" s="136">
        <v>0.049745</v>
      </c>
      <c r="D26" s="137"/>
    </row>
    <row r="27" ht="14.25" customHeight="1">
      <c r="A27" s="12" t="s">
        <v>929</v>
      </c>
      <c r="B27" s="12" t="s">
        <v>918</v>
      </c>
      <c r="C27" s="136"/>
      <c r="D27" s="137">
        <v>0.2389210019</v>
      </c>
      <c r="F27" s="139"/>
    </row>
    <row r="28" ht="14.25" customHeight="1">
      <c r="A28" s="12" t="s">
        <v>929</v>
      </c>
      <c r="B28" s="12" t="s">
        <v>922</v>
      </c>
      <c r="C28" s="136"/>
      <c r="D28" s="137">
        <v>0.2389210019</v>
      </c>
      <c r="F28" s="16">
        <v>1.09E11</v>
      </c>
      <c r="G28" s="19">
        <v>1.853E10</v>
      </c>
      <c r="H28" s="5" t="s">
        <v>209</v>
      </c>
    </row>
    <row r="29" ht="14.25" customHeight="1">
      <c r="A29" s="12" t="s">
        <v>929</v>
      </c>
      <c r="B29" s="12" t="s">
        <v>919</v>
      </c>
      <c r="C29" s="136"/>
      <c r="D29" s="137">
        <v>0.3005780347</v>
      </c>
      <c r="F29" s="139"/>
    </row>
    <row r="30" ht="14.25" customHeight="1">
      <c r="A30" s="12" t="s">
        <v>929</v>
      </c>
      <c r="B30" s="12" t="s">
        <v>920</v>
      </c>
      <c r="C30" s="136"/>
      <c r="D30" s="137">
        <v>0.22157996149999998</v>
      </c>
      <c r="F30" s="139"/>
    </row>
    <row r="31" ht="13.5" customHeight="1">
      <c r="A31" s="12" t="s">
        <v>930</v>
      </c>
      <c r="B31" s="12" t="s">
        <v>918</v>
      </c>
      <c r="C31" s="136"/>
      <c r="D31" s="137">
        <v>0.1387283237</v>
      </c>
      <c r="F31" s="139"/>
    </row>
    <row r="32" ht="13.5" customHeight="1">
      <c r="A32" s="12" t="s">
        <v>930</v>
      </c>
      <c r="B32" s="12" t="s">
        <v>922</v>
      </c>
      <c r="C32" s="136"/>
      <c r="D32" s="137">
        <v>0.3391136802</v>
      </c>
    </row>
    <row r="33" ht="13.5" customHeight="1">
      <c r="A33" s="12" t="s">
        <v>930</v>
      </c>
      <c r="B33" s="12" t="s">
        <v>919</v>
      </c>
      <c r="C33" s="136"/>
      <c r="D33" s="137">
        <v>0.2312138728</v>
      </c>
    </row>
    <row r="34" ht="13.5" customHeight="1">
      <c r="A34" s="12" t="s">
        <v>930</v>
      </c>
      <c r="B34" s="12" t="s">
        <v>920</v>
      </c>
      <c r="C34" s="136"/>
      <c r="D34" s="137">
        <v>0.2909441233</v>
      </c>
    </row>
    <row r="35" ht="14.25" customHeight="1">
      <c r="A35" s="12" t="s">
        <v>931</v>
      </c>
      <c r="B35" s="12" t="s">
        <v>918</v>
      </c>
      <c r="C35" s="136"/>
      <c r="D35" s="137">
        <v>0.1483622351</v>
      </c>
    </row>
    <row r="36" ht="14.25" customHeight="1">
      <c r="A36" s="12" t="s">
        <v>931</v>
      </c>
      <c r="B36" s="12" t="s">
        <v>919</v>
      </c>
      <c r="C36" s="136"/>
      <c r="D36" s="137">
        <v>0.7803468208</v>
      </c>
    </row>
    <row r="37" ht="14.25" customHeight="1">
      <c r="A37" s="12" t="s">
        <v>931</v>
      </c>
      <c r="B37" s="12" t="s">
        <v>920</v>
      </c>
      <c r="C37" s="136"/>
      <c r="D37" s="137">
        <v>0.07129094411999999</v>
      </c>
    </row>
    <row r="38" ht="14.25" customHeight="1">
      <c r="A38" s="12" t="s">
        <v>932</v>
      </c>
      <c r="B38" s="12" t="s">
        <v>918</v>
      </c>
      <c r="C38" s="138">
        <v>0.37957317073170693</v>
      </c>
      <c r="D38" s="137">
        <v>0.3198458574</v>
      </c>
    </row>
    <row r="39" ht="14.25" customHeight="1">
      <c r="A39" s="12" t="s">
        <v>932</v>
      </c>
      <c r="B39" s="12" t="s">
        <v>919</v>
      </c>
      <c r="C39" s="138">
        <v>0.05030487804878103</v>
      </c>
      <c r="D39" s="137">
        <v>0.0289017341</v>
      </c>
    </row>
    <row r="40" ht="14.25" customHeight="1">
      <c r="A40" s="12" t="s">
        <v>932</v>
      </c>
      <c r="B40" s="12" t="s">
        <v>920</v>
      </c>
      <c r="C40" s="138">
        <v>0.570121951219512</v>
      </c>
      <c r="D40" s="137">
        <v>0.6512524085</v>
      </c>
      <c r="F40" s="5">
        <f>19800/30000*10^12</f>
        <v>660000000000</v>
      </c>
      <c r="G40" s="19">
        <f>SQRT(SUMSQ(10000/30000,2500/19800))*F40</f>
        <v>235253999848</v>
      </c>
      <c r="H40" s="5" t="s">
        <v>209</v>
      </c>
    </row>
    <row r="41" ht="14.25" customHeight="1">
      <c r="A41" s="12" t="s">
        <v>21</v>
      </c>
      <c r="B41" s="12" t="s">
        <v>918</v>
      </c>
      <c r="C41" s="136">
        <v>0.25</v>
      </c>
      <c r="D41" s="137">
        <v>0.267822736</v>
      </c>
    </row>
    <row r="42" ht="14.25" customHeight="1">
      <c r="A42" s="12" t="s">
        <v>21</v>
      </c>
      <c r="B42" s="12" t="s">
        <v>919</v>
      </c>
      <c r="C42" s="136">
        <v>0.65051</v>
      </c>
      <c r="D42" s="137">
        <v>0.5703275529999999</v>
      </c>
    </row>
    <row r="43" ht="14.25" customHeight="1">
      <c r="A43" s="12" t="s">
        <v>21</v>
      </c>
      <c r="B43" s="12" t="s">
        <v>920</v>
      </c>
      <c r="C43" s="136">
        <v>0.09949</v>
      </c>
      <c r="D43" s="137">
        <v>0.16184971099999998</v>
      </c>
    </row>
    <row r="44" ht="14.25" customHeight="1">
      <c r="A44" s="12" t="s">
        <v>22</v>
      </c>
      <c r="B44" s="12" t="s">
        <v>918</v>
      </c>
      <c r="C44" s="136">
        <v>0.09949</v>
      </c>
      <c r="D44" s="137"/>
    </row>
    <row r="45" ht="14.25" customHeight="1">
      <c r="A45" s="12" t="s">
        <v>22</v>
      </c>
      <c r="B45" s="12" t="s">
        <v>919</v>
      </c>
      <c r="C45" s="136">
        <v>0.30102</v>
      </c>
      <c r="D45" s="137"/>
    </row>
    <row r="46" ht="14.25" customHeight="1">
      <c r="A46" s="12" t="s">
        <v>22</v>
      </c>
      <c r="B46" s="12" t="s">
        <v>920</v>
      </c>
      <c r="C46" s="136">
        <v>0.59949</v>
      </c>
      <c r="D46" s="137"/>
    </row>
    <row r="47" ht="14.25" customHeight="1">
      <c r="A47" s="12" t="s">
        <v>61</v>
      </c>
      <c r="B47" s="12" t="s">
        <v>918</v>
      </c>
      <c r="C47" s="136">
        <v>0.1</v>
      </c>
      <c r="D47" s="137">
        <v>0.1001926782</v>
      </c>
    </row>
    <row r="48" ht="14.25" customHeight="1">
      <c r="A48" s="127" t="s">
        <v>61</v>
      </c>
      <c r="B48" s="12" t="s">
        <v>922</v>
      </c>
      <c r="C48" s="136">
        <v>0.4</v>
      </c>
      <c r="D48" s="137">
        <v>0.39691714840000003</v>
      </c>
    </row>
    <row r="49" ht="14.25" customHeight="1">
      <c r="A49" s="12" t="s">
        <v>61</v>
      </c>
      <c r="B49" s="12" t="s">
        <v>919</v>
      </c>
      <c r="C49" s="136">
        <v>0.1</v>
      </c>
      <c r="D49" s="137">
        <v>0.1001926782</v>
      </c>
    </row>
    <row r="50" ht="14.25" customHeight="1">
      <c r="A50" s="12" t="s">
        <v>61</v>
      </c>
      <c r="B50" s="12" t="s">
        <v>920</v>
      </c>
      <c r="C50" s="136">
        <v>0.4</v>
      </c>
      <c r="D50" s="137">
        <v>0.4026974952</v>
      </c>
    </row>
    <row r="51" ht="14.25" customHeight="1">
      <c r="A51" s="12" t="s">
        <v>77</v>
      </c>
      <c r="B51" s="12" t="s">
        <v>919</v>
      </c>
      <c r="C51" s="135">
        <v>0.054878048780487965</v>
      </c>
      <c r="D51" s="140"/>
      <c r="E51" s="127" t="s">
        <v>933</v>
      </c>
    </row>
    <row r="52" ht="14.25" customHeight="1">
      <c r="A52" s="12" t="s">
        <v>77</v>
      </c>
      <c r="B52" s="12" t="s">
        <v>920</v>
      </c>
      <c r="C52" s="135">
        <v>0.8692835365853664</v>
      </c>
      <c r="D52" s="140"/>
      <c r="E52" s="127" t="s">
        <v>933</v>
      </c>
      <c r="F52" s="19">
        <v>3.4E10</v>
      </c>
      <c r="G52" s="19">
        <v>5.0E9</v>
      </c>
      <c r="H52" s="5" t="s">
        <v>209</v>
      </c>
    </row>
    <row r="53" ht="14.25" customHeight="1">
      <c r="A53" s="12" t="s">
        <v>77</v>
      </c>
      <c r="B53" s="12" t="s">
        <v>918</v>
      </c>
      <c r="C53" s="135">
        <v>0.07583841463414559</v>
      </c>
      <c r="D53" s="140"/>
      <c r="E53" s="127" t="s">
        <v>933</v>
      </c>
    </row>
    <row r="54" ht="14.25" customHeight="1">
      <c r="A54" s="5" t="s">
        <v>74</v>
      </c>
      <c r="B54" s="5" t="s">
        <v>919</v>
      </c>
      <c r="C54" s="135">
        <v>0.09984756097560998</v>
      </c>
      <c r="D54" s="140"/>
    </row>
    <row r="55" ht="14.25" customHeight="1">
      <c r="A55" s="5" t="s">
        <v>74</v>
      </c>
      <c r="B55" s="5" t="s">
        <v>920</v>
      </c>
      <c r="C55" s="135">
        <v>0.59984756097561</v>
      </c>
      <c r="F55" s="19">
        <f>10^10</f>
        <v>10000000000</v>
      </c>
      <c r="G55" s="19">
        <f>F55/10</f>
        <v>1000000000</v>
      </c>
      <c r="H55" s="5" t="s">
        <v>934</v>
      </c>
    </row>
    <row r="56" ht="14.25" customHeight="1">
      <c r="A56" s="5" t="s">
        <v>74</v>
      </c>
      <c r="B56" s="5" t="s">
        <v>918</v>
      </c>
      <c r="C56" s="135">
        <v>0.30030487804878</v>
      </c>
    </row>
    <row r="57" ht="14.25" customHeight="1">
      <c r="A57" s="5" t="s">
        <v>45</v>
      </c>
      <c r="B57" s="5" t="s">
        <v>919</v>
      </c>
      <c r="C57" s="135">
        <v>0.09984756097560998</v>
      </c>
    </row>
    <row r="58" ht="14.25" customHeight="1">
      <c r="A58" s="5" t="s">
        <v>45</v>
      </c>
      <c r="B58" s="5" t="s">
        <v>920</v>
      </c>
      <c r="C58" s="135">
        <v>0.20045731707317105</v>
      </c>
    </row>
    <row r="59" ht="14.25" customHeight="1">
      <c r="A59" s="5" t="s">
        <v>45</v>
      </c>
      <c r="B59" s="5" t="s">
        <v>918</v>
      </c>
      <c r="C59" s="135">
        <v>0.04954268292682895</v>
      </c>
    </row>
    <row r="60" ht="14.25" customHeight="1">
      <c r="A60" s="5" t="s">
        <v>45</v>
      </c>
      <c r="B60" s="5" t="s">
        <v>922</v>
      </c>
      <c r="C60" s="135">
        <v>0.65015243902439</v>
      </c>
      <c r="F60" s="5">
        <f>1*10^11</f>
        <v>100000000000</v>
      </c>
      <c r="G60" s="132">
        <f>2*10^10</f>
        <v>20000000000</v>
      </c>
      <c r="H60" s="5" t="s">
        <v>935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2023-03-12T11:15:08Z</dcterms:created>
  <dc:creator>Ron Sender</dc:creator>
</cp:coreProperties>
</file>